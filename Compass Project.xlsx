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30"/>
  <workbookPr defaultThemeVersion="202300"/>
  <mc:AlternateContent xmlns:mc="http://schemas.openxmlformats.org/markup-compatibility/2006">
    <mc:Choice Requires="x15">
      <x15ac:absPath xmlns:x15ac="http://schemas.microsoft.com/office/spreadsheetml/2010/11/ac" url="/Users/svayamruparelia/Desktop/CompassProject/"/>
    </mc:Choice>
  </mc:AlternateContent>
  <xr:revisionPtr revIDLastSave="0" documentId="13_ncr:1_{8F8B2A48-B42F-2249-A13E-58EBA5183604}" xr6:coauthVersionLast="47" xr6:coauthVersionMax="47" xr10:uidLastSave="{00000000-0000-0000-0000-000000000000}"/>
  <bookViews>
    <workbookView xWindow="13980" yWindow="660" windowWidth="15420" windowHeight="17400" xr2:uid="{5E6E1B9C-E901-2545-8D45-05E32A0BBE32}"/>
  </bookViews>
  <sheets>
    <sheet name="Valuation_Summary" sheetId="9" r:id="rId1"/>
    <sheet name="DCF" sheetId="7" r:id="rId2"/>
    <sheet name="3_Statment_model" sheetId="1" r:id="rId3"/>
    <sheet name="Public_Comps" sheetId="6" r:id="rId4"/>
    <sheet name="LBO" sheetId="8" r:id="rId5"/>
    <sheet name="Imported_Financial_Statements" sheetId="3" r:id="rId6"/>
  </sheets>
  <definedNames>
    <definedName name="ExternalData_1" localSheetId="5" hidden="1">Imported_Financial_Statements!$A$3:$D$57</definedName>
    <definedName name="ExternalData_2" localSheetId="5" hidden="1">Imported_Financial_Statements!$F$3:$I$88</definedName>
    <definedName name="ExternalData_3" localSheetId="5" hidden="1">Imported_Financial_Statements!$K$3:$N$57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72" i="9" l="1"/>
  <c r="E76" i="9"/>
  <c r="E73" i="9"/>
  <c r="C73" i="9"/>
  <c r="C74" i="9"/>
  <c r="C75" i="9"/>
  <c r="H76" i="9"/>
  <c r="E74" i="9"/>
  <c r="E75" i="9"/>
  <c r="C72" i="9"/>
  <c r="E65" i="9"/>
  <c r="F65" i="9"/>
  <c r="D65" i="9"/>
  <c r="AL25" i="9"/>
  <c r="AM25" i="9"/>
  <c r="AK25" i="9"/>
  <c r="AE25" i="9"/>
  <c r="AF25" i="9"/>
  <c r="AG25" i="9"/>
  <c r="AH25" i="9"/>
  <c r="AD25" i="9"/>
  <c r="AG17" i="9"/>
  <c r="E64" i="9" s="1"/>
  <c r="AE17" i="9"/>
  <c r="D64" i="9" s="1"/>
  <c r="AH17" i="9"/>
  <c r="AD17" i="9"/>
  <c r="AI17" i="9" s="1"/>
  <c r="AG18" i="9"/>
  <c r="E63" i="9" s="1"/>
  <c r="AE18" i="9"/>
  <c r="D63" i="9" s="1"/>
  <c r="AH18" i="9"/>
  <c r="AD18" i="9"/>
  <c r="AI18" i="9" s="1"/>
  <c r="AE20" i="9"/>
  <c r="D62" i="9" s="1"/>
  <c r="AF20" i="9"/>
  <c r="AG20" i="9"/>
  <c r="AH20" i="9"/>
  <c r="AD20" i="9"/>
  <c r="AI20" i="9" s="1"/>
  <c r="G305" i="8"/>
  <c r="H305" i="8" s="1"/>
  <c r="I305" i="8" s="1"/>
  <c r="J305" i="8" s="1"/>
  <c r="K305" i="8" s="1"/>
  <c r="L305" i="8" s="1"/>
  <c r="M305" i="8" s="1"/>
  <c r="N305" i="8" s="1"/>
  <c r="O305" i="8" s="1"/>
  <c r="F305" i="8"/>
  <c r="E6" i="8"/>
  <c r="E8" i="8" s="1"/>
  <c r="AF17" i="9"/>
  <c r="F64" i="9" s="1"/>
  <c r="AF18" i="9"/>
  <c r="F63" i="9" s="1"/>
  <c r="AA23" i="9"/>
  <c r="AA22" i="9"/>
  <c r="J292" i="8"/>
  <c r="I292" i="8" s="1"/>
  <c r="H292" i="8" s="1"/>
  <c r="G292" i="8" s="1"/>
  <c r="F292" i="8" s="1"/>
  <c r="E292" i="8" s="1"/>
  <c r="AA13" i="9"/>
  <c r="J298" i="8"/>
  <c r="I298" i="8" s="1"/>
  <c r="H298" i="8" s="1"/>
  <c r="G298" i="8" s="1"/>
  <c r="F298" i="8" s="1"/>
  <c r="E298" i="8" s="1"/>
  <c r="E6" i="7"/>
  <c r="G32" i="7" s="1"/>
  <c r="E5" i="7"/>
  <c r="E4" i="8"/>
  <c r="G254" i="8" s="1"/>
  <c r="J254" i="8" s="1"/>
  <c r="E3" i="8"/>
  <c r="E2" i="1"/>
  <c r="E3" i="1"/>
  <c r="D24" i="6"/>
  <c r="E8" i="7"/>
  <c r="L255" i="8"/>
  <c r="M255" i="8" s="1"/>
  <c r="N255" i="8" s="1"/>
  <c r="O255" i="8" s="1"/>
  <c r="N262" i="8"/>
  <c r="O262" i="8"/>
  <c r="M262" i="8"/>
  <c r="D254" i="8"/>
  <c r="F235" i="8"/>
  <c r="G235" i="8"/>
  <c r="E235" i="8"/>
  <c r="F234" i="8"/>
  <c r="G234" i="8"/>
  <c r="E234" i="8"/>
  <c r="D227" i="8"/>
  <c r="L175" i="8"/>
  <c r="M175" i="8"/>
  <c r="N175" i="8"/>
  <c r="O175" i="8"/>
  <c r="K175" i="8"/>
  <c r="K174" i="8"/>
  <c r="L174" i="8"/>
  <c r="M174" i="8"/>
  <c r="N174" i="8"/>
  <c r="O174" i="8"/>
  <c r="L173" i="8"/>
  <c r="M173" i="8"/>
  <c r="N173" i="8"/>
  <c r="O173" i="8"/>
  <c r="K173" i="8"/>
  <c r="L172" i="8"/>
  <c r="M172" i="8"/>
  <c r="N172" i="8"/>
  <c r="O172" i="8"/>
  <c r="K172" i="8"/>
  <c r="F176" i="8"/>
  <c r="K176" i="8" s="1"/>
  <c r="L191" i="8"/>
  <c r="M191" i="8"/>
  <c r="N191" i="8"/>
  <c r="O191" i="8"/>
  <c r="K191" i="8"/>
  <c r="E152" i="8"/>
  <c r="E222" i="8"/>
  <c r="C173" i="8"/>
  <c r="C174" i="8"/>
  <c r="C175" i="8"/>
  <c r="C172" i="8"/>
  <c r="C182" i="8"/>
  <c r="C183" i="8"/>
  <c r="C184" i="8"/>
  <c r="C181" i="8"/>
  <c r="F177" i="8"/>
  <c r="L72" i="8"/>
  <c r="M72" i="8"/>
  <c r="N72" i="8"/>
  <c r="O72" i="8"/>
  <c r="K72" i="8"/>
  <c r="E142" i="8"/>
  <c r="F142" i="8"/>
  <c r="G142" i="8"/>
  <c r="E143" i="8"/>
  <c r="F143" i="8"/>
  <c r="G143" i="8"/>
  <c r="E144" i="8"/>
  <c r="F144" i="8"/>
  <c r="G144" i="8"/>
  <c r="E145" i="8"/>
  <c r="F145" i="8"/>
  <c r="G145" i="8"/>
  <c r="F141" i="8"/>
  <c r="G141" i="8"/>
  <c r="E141" i="8"/>
  <c r="K136" i="8"/>
  <c r="L136" i="8"/>
  <c r="M136" i="8"/>
  <c r="N136" i="8"/>
  <c r="O136" i="8"/>
  <c r="E135" i="8"/>
  <c r="F135" i="8"/>
  <c r="G135" i="8"/>
  <c r="E136" i="8"/>
  <c r="F136" i="8"/>
  <c r="G136" i="8"/>
  <c r="E137" i="8"/>
  <c r="F137" i="8"/>
  <c r="G137" i="8"/>
  <c r="F126" i="8"/>
  <c r="G126" i="8"/>
  <c r="F127" i="8"/>
  <c r="G127" i="8"/>
  <c r="F128" i="8"/>
  <c r="G128" i="8"/>
  <c r="F129" i="8"/>
  <c r="G129" i="8"/>
  <c r="E127" i="8"/>
  <c r="E128" i="8"/>
  <c r="E129" i="8"/>
  <c r="E126" i="8"/>
  <c r="E87" i="8"/>
  <c r="E83" i="8"/>
  <c r="F83" i="8"/>
  <c r="G83" i="8"/>
  <c r="I83" i="8" s="1"/>
  <c r="E84" i="8"/>
  <c r="F84" i="8"/>
  <c r="G84" i="8"/>
  <c r="J84" i="8" s="1"/>
  <c r="E85" i="8"/>
  <c r="F85" i="8"/>
  <c r="G85" i="8"/>
  <c r="J85" i="8" s="1"/>
  <c r="E86" i="8"/>
  <c r="F86" i="8"/>
  <c r="G86" i="8"/>
  <c r="J86" i="8" s="1"/>
  <c r="F87" i="8"/>
  <c r="G87" i="8"/>
  <c r="E91" i="8"/>
  <c r="F91" i="8"/>
  <c r="G91" i="8"/>
  <c r="J91" i="8" s="1"/>
  <c r="E92" i="8"/>
  <c r="F92" i="8"/>
  <c r="G92" i="8"/>
  <c r="J92" i="8" s="1"/>
  <c r="E93" i="8"/>
  <c r="F93" i="8"/>
  <c r="G93" i="8"/>
  <c r="D41" i="8" s="1"/>
  <c r="E94" i="8"/>
  <c r="F94" i="8"/>
  <c r="G94" i="8"/>
  <c r="J94" i="8" s="1"/>
  <c r="E100" i="8"/>
  <c r="F100" i="8"/>
  <c r="G100" i="8"/>
  <c r="J100" i="8" s="1"/>
  <c r="E101" i="8"/>
  <c r="F101" i="8"/>
  <c r="G101" i="8"/>
  <c r="J101" i="8" s="1"/>
  <c r="E102" i="8"/>
  <c r="F102" i="8"/>
  <c r="G102" i="8"/>
  <c r="J102" i="8" s="1"/>
  <c r="E103" i="8"/>
  <c r="F103" i="8"/>
  <c r="G103" i="8"/>
  <c r="J103" i="8" s="1"/>
  <c r="E107" i="8"/>
  <c r="F107" i="8"/>
  <c r="G107" i="8"/>
  <c r="E108" i="8"/>
  <c r="F108" i="8"/>
  <c r="G108" i="8"/>
  <c r="J108" i="8" s="1"/>
  <c r="E109" i="8"/>
  <c r="F109" i="8"/>
  <c r="G109" i="8"/>
  <c r="J109" i="8" s="1"/>
  <c r="E117" i="8"/>
  <c r="F117" i="8"/>
  <c r="G117" i="8"/>
  <c r="E54" i="8" s="1"/>
  <c r="E118" i="8"/>
  <c r="F118" i="8"/>
  <c r="G118" i="8"/>
  <c r="J118" i="8" s="1"/>
  <c r="F75" i="8"/>
  <c r="G75" i="8"/>
  <c r="E75" i="8"/>
  <c r="E72" i="8"/>
  <c r="F72" i="8"/>
  <c r="G72" i="8"/>
  <c r="F70" i="8"/>
  <c r="G70" i="8"/>
  <c r="E70" i="8"/>
  <c r="E69" i="8"/>
  <c r="F69" i="8"/>
  <c r="G69" i="8"/>
  <c r="E64" i="8"/>
  <c r="F64" i="8"/>
  <c r="G64" i="8"/>
  <c r="E65" i="8"/>
  <c r="F65" i="8"/>
  <c r="G65" i="8"/>
  <c r="E66" i="8"/>
  <c r="F66" i="8"/>
  <c r="G66" i="8"/>
  <c r="K66" i="8"/>
  <c r="L66" i="8"/>
  <c r="M66" i="8"/>
  <c r="N66" i="8"/>
  <c r="O66" i="8"/>
  <c r="E62" i="8"/>
  <c r="F62" i="8"/>
  <c r="G62" i="8"/>
  <c r="E63" i="8"/>
  <c r="F63" i="8"/>
  <c r="G63" i="8"/>
  <c r="E61" i="8"/>
  <c r="F61" i="8"/>
  <c r="G61" i="8"/>
  <c r="N31" i="8"/>
  <c r="M258" i="8" s="1"/>
  <c r="N258" i="8" s="1"/>
  <c r="O258" i="8" s="1"/>
  <c r="E10" i="8"/>
  <c r="E15" i="8"/>
  <c r="E18" i="8"/>
  <c r="O265" i="8" s="1"/>
  <c r="AK20" i="9" l="1"/>
  <c r="AL20" i="9"/>
  <c r="E62" i="9"/>
  <c r="F62" i="9"/>
  <c r="H62" i="9" s="1"/>
  <c r="AM20" i="9"/>
  <c r="AJ20" i="9"/>
  <c r="H63" i="9"/>
  <c r="H64" i="9"/>
  <c r="G80" i="8"/>
  <c r="J80" i="8" s="1"/>
  <c r="G123" i="8"/>
  <c r="J123" i="8" s="1"/>
  <c r="G166" i="8"/>
  <c r="J166" i="8" s="1"/>
  <c r="AM17" i="9"/>
  <c r="AJ18" i="9"/>
  <c r="AL18" i="9"/>
  <c r="AM18" i="9"/>
  <c r="AK18" i="9"/>
  <c r="AJ17" i="9"/>
  <c r="AL17" i="9"/>
  <c r="AK17" i="9"/>
  <c r="G60" i="8"/>
  <c r="F60" i="8" s="1"/>
  <c r="E60" i="8" s="1"/>
  <c r="G227" i="8"/>
  <c r="J227" i="8" s="1"/>
  <c r="F250" i="8"/>
  <c r="N265" i="8"/>
  <c r="M265" i="8"/>
  <c r="K254" i="8"/>
  <c r="F254" i="8"/>
  <c r="E254" i="8" s="1"/>
  <c r="E237" i="8"/>
  <c r="G237" i="8"/>
  <c r="F237" i="8"/>
  <c r="G250" i="8"/>
  <c r="O176" i="8"/>
  <c r="M176" i="8"/>
  <c r="N176" i="8"/>
  <c r="L176" i="8"/>
  <c r="K37" i="8"/>
  <c r="E138" i="8"/>
  <c r="E55" i="8"/>
  <c r="F138" i="8"/>
  <c r="E120" i="8"/>
  <c r="G146" i="8"/>
  <c r="E146" i="8"/>
  <c r="G120" i="8"/>
  <c r="G138" i="8"/>
  <c r="F146" i="8"/>
  <c r="E88" i="8"/>
  <c r="G110" i="8"/>
  <c r="E104" i="8"/>
  <c r="E95" i="8"/>
  <c r="F88" i="8"/>
  <c r="F110" i="8"/>
  <c r="G104" i="8"/>
  <c r="F120" i="8"/>
  <c r="E110" i="8"/>
  <c r="F104" i="8"/>
  <c r="F95" i="8"/>
  <c r="J104" i="8"/>
  <c r="G88" i="8"/>
  <c r="G95" i="8"/>
  <c r="E12" i="8"/>
  <c r="K166" i="8" l="1"/>
  <c r="L166" i="8" s="1"/>
  <c r="M166" i="8" s="1"/>
  <c r="N166" i="8" s="1"/>
  <c r="O166" i="8" s="1"/>
  <c r="K123" i="8"/>
  <c r="L123" i="8" s="1"/>
  <c r="M123" i="8" s="1"/>
  <c r="N123" i="8" s="1"/>
  <c r="O123" i="8" s="1"/>
  <c r="F80" i="8"/>
  <c r="E80" i="8" s="1"/>
  <c r="K80" i="8"/>
  <c r="L80" i="8" s="1"/>
  <c r="M80" i="8" s="1"/>
  <c r="N80" i="8" s="1"/>
  <c r="O80" i="8" s="1"/>
  <c r="F166" i="8"/>
  <c r="E166" i="8" s="1"/>
  <c r="F123" i="8"/>
  <c r="E123" i="8" s="1"/>
  <c r="K60" i="8"/>
  <c r="L60" i="8" s="1"/>
  <c r="M60" i="8" s="1"/>
  <c r="N60" i="8" s="1"/>
  <c r="O60" i="8" s="1"/>
  <c r="K227" i="8"/>
  <c r="L227" i="8" s="1"/>
  <c r="M227" i="8" s="1"/>
  <c r="N227" i="8" s="1"/>
  <c r="O227" i="8" s="1"/>
  <c r="J60" i="8"/>
  <c r="F227" i="8"/>
  <c r="E227" i="8" s="1"/>
  <c r="L254" i="8"/>
  <c r="K275" i="8"/>
  <c r="K276" i="8" s="1"/>
  <c r="K284" i="8"/>
  <c r="K285" i="8" s="1"/>
  <c r="E97" i="8"/>
  <c r="K38" i="8"/>
  <c r="E53" i="8"/>
  <c r="E56" i="8" s="1"/>
  <c r="H83" i="8" s="1"/>
  <c r="J83" i="8" s="1"/>
  <c r="F97" i="8"/>
  <c r="F112" i="8"/>
  <c r="G97" i="8"/>
  <c r="E112" i="8"/>
  <c r="G112" i="8"/>
  <c r="K36" i="8"/>
  <c r="D40" i="8"/>
  <c r="M254" i="8" l="1"/>
  <c r="L275" i="8"/>
  <c r="L276" i="8" s="1"/>
  <c r="L284" i="8"/>
  <c r="L285" i="8" s="1"/>
  <c r="E114" i="8"/>
  <c r="M83" i="8"/>
  <c r="N83" i="8"/>
  <c r="O83" i="8"/>
  <c r="K83" i="8"/>
  <c r="L83" i="8"/>
  <c r="H117" i="8"/>
  <c r="F114" i="8"/>
  <c r="D46" i="8"/>
  <c r="J274" i="8" s="1"/>
  <c r="J276" i="8" s="1"/>
  <c r="G114" i="8"/>
  <c r="N254" i="8" l="1"/>
  <c r="M275" i="8"/>
  <c r="M276" i="8" s="1"/>
  <c r="M284" i="8"/>
  <c r="M285" i="8" s="1"/>
  <c r="D100" i="7"/>
  <c r="D101" i="7" s="1"/>
  <c r="D102" i="7" s="1"/>
  <c r="D103" i="7" s="1"/>
  <c r="D104" i="7" s="1"/>
  <c r="D105" i="7" s="1"/>
  <c r="D106" i="7" s="1"/>
  <c r="D107" i="7" s="1"/>
  <c r="D108" i="7" s="1"/>
  <c r="D109" i="7" s="1"/>
  <c r="D85" i="7"/>
  <c r="D86" i="7" s="1"/>
  <c r="D87" i="7" s="1"/>
  <c r="D88" i="7" s="1"/>
  <c r="D89" i="7" s="1"/>
  <c r="D90" i="7" s="1"/>
  <c r="D91" i="7" s="1"/>
  <c r="D92" i="7" s="1"/>
  <c r="D93" i="7" s="1"/>
  <c r="D94" i="7" s="1"/>
  <c r="F98" i="7"/>
  <c r="G98" i="7" s="1"/>
  <c r="H98" i="7" s="1"/>
  <c r="I98" i="7" s="1"/>
  <c r="J98" i="7" s="1"/>
  <c r="K98" i="7" s="1"/>
  <c r="L98" i="7" s="1"/>
  <c r="M98" i="7" s="1"/>
  <c r="N98" i="7" s="1"/>
  <c r="O98" i="7" s="1"/>
  <c r="L218" i="1"/>
  <c r="K218" i="1"/>
  <c r="J218" i="1"/>
  <c r="I218" i="1"/>
  <c r="F83" i="7"/>
  <c r="G83" i="7" s="1"/>
  <c r="H83" i="7" s="1"/>
  <c r="I83" i="7" s="1"/>
  <c r="J83" i="7" s="1"/>
  <c r="K83" i="7" s="1"/>
  <c r="L83" i="7" s="1"/>
  <c r="M83" i="7" s="1"/>
  <c r="H218" i="1"/>
  <c r="I217" i="1"/>
  <c r="J217" i="1"/>
  <c r="K217" i="1"/>
  <c r="L217" i="1"/>
  <c r="H217" i="1"/>
  <c r="I183" i="1"/>
  <c r="L118" i="8" s="1"/>
  <c r="J183" i="1"/>
  <c r="M118" i="8" s="1"/>
  <c r="M264" i="8" s="1"/>
  <c r="K183" i="1"/>
  <c r="N118" i="8" s="1"/>
  <c r="N264" i="8" s="1"/>
  <c r="L183" i="1"/>
  <c r="O118" i="8" s="1"/>
  <c r="O264" i="8" s="1"/>
  <c r="H183" i="1"/>
  <c r="K118" i="8" s="1"/>
  <c r="I148" i="1"/>
  <c r="J148" i="1"/>
  <c r="K148" i="1"/>
  <c r="L148" i="1"/>
  <c r="H148" i="1"/>
  <c r="D61" i="6"/>
  <c r="D64" i="6"/>
  <c r="D67" i="6"/>
  <c r="D58" i="6"/>
  <c r="B56" i="6"/>
  <c r="B55" i="6"/>
  <c r="B53" i="6"/>
  <c r="B52" i="6"/>
  <c r="B50" i="6"/>
  <c r="B49" i="6"/>
  <c r="O23" i="7"/>
  <c r="J23" i="7"/>
  <c r="O26" i="7"/>
  <c r="O20" i="7"/>
  <c r="J26" i="7"/>
  <c r="J20" i="7"/>
  <c r="E13" i="7"/>
  <c r="J69" i="7" s="1"/>
  <c r="E18" i="7"/>
  <c r="E17" i="7"/>
  <c r="E15" i="7"/>
  <c r="E14" i="7"/>
  <c r="E24" i="6"/>
  <c r="E33" i="7"/>
  <c r="H32" i="7"/>
  <c r="I32" i="7" s="1"/>
  <c r="J32" i="7" s="1"/>
  <c r="K32" i="7" s="1"/>
  <c r="L32" i="7" s="1"/>
  <c r="G33" i="7"/>
  <c r="G34" i="7"/>
  <c r="F72" i="7"/>
  <c r="D54" i="7"/>
  <c r="F69" i="7"/>
  <c r="H65" i="7"/>
  <c r="F65" i="7"/>
  <c r="L60" i="7"/>
  <c r="L61" i="7"/>
  <c r="L62" i="7"/>
  <c r="L63" i="7"/>
  <c r="L59" i="7"/>
  <c r="J60" i="7"/>
  <c r="K60" i="7" s="1"/>
  <c r="J61" i="7"/>
  <c r="K61" i="7" s="1"/>
  <c r="J62" i="7"/>
  <c r="K62" i="7" s="1"/>
  <c r="J63" i="7"/>
  <c r="G63" i="7" s="1"/>
  <c r="J59" i="7"/>
  <c r="I59" i="7" s="1"/>
  <c r="E60" i="7"/>
  <c r="E61" i="7"/>
  <c r="E62" i="7"/>
  <c r="E63" i="7"/>
  <c r="E59" i="7"/>
  <c r="D48" i="7"/>
  <c r="F46" i="7"/>
  <c r="G46" i="7"/>
  <c r="E46" i="7"/>
  <c r="D46" i="7"/>
  <c r="F45" i="7"/>
  <c r="G45" i="7"/>
  <c r="E45" i="7"/>
  <c r="D45" i="7"/>
  <c r="F44" i="7"/>
  <c r="G44" i="7"/>
  <c r="E44" i="7"/>
  <c r="D44" i="7"/>
  <c r="D42" i="7"/>
  <c r="D41" i="7"/>
  <c r="C39" i="7"/>
  <c r="D39" i="7"/>
  <c r="C34" i="7"/>
  <c r="D34" i="7"/>
  <c r="E34" i="7"/>
  <c r="F34" i="7"/>
  <c r="C35" i="7"/>
  <c r="D35" i="7"/>
  <c r="E35" i="7"/>
  <c r="F35" i="7"/>
  <c r="G35" i="7"/>
  <c r="C36" i="7"/>
  <c r="D36" i="7"/>
  <c r="E36" i="7"/>
  <c r="F36" i="7"/>
  <c r="G36" i="7"/>
  <c r="C37" i="7"/>
  <c r="D37" i="7"/>
  <c r="E37" i="7"/>
  <c r="F37" i="7"/>
  <c r="G37" i="7"/>
  <c r="C38" i="7"/>
  <c r="D38" i="7"/>
  <c r="E38" i="7"/>
  <c r="F38" i="7"/>
  <c r="G38" i="7"/>
  <c r="H38" i="7"/>
  <c r="I38" i="7"/>
  <c r="J38" i="7"/>
  <c r="K38" i="7"/>
  <c r="L38" i="7"/>
  <c r="D33" i="7"/>
  <c r="F33" i="7"/>
  <c r="C33" i="7"/>
  <c r="G6" i="1"/>
  <c r="H6" i="1" s="1"/>
  <c r="I6" i="1" s="1"/>
  <c r="J6" i="1" s="1"/>
  <c r="K6" i="1" s="1"/>
  <c r="L6" i="1" s="1"/>
  <c r="G65" i="9" l="1"/>
  <c r="G62" i="9"/>
  <c r="G63" i="9"/>
  <c r="G64" i="9"/>
  <c r="O254" i="8"/>
  <c r="N275" i="8"/>
  <c r="N276" i="8" s="1"/>
  <c r="N284" i="8"/>
  <c r="N285" i="8" s="1"/>
  <c r="I69" i="7"/>
  <c r="O19" i="7"/>
  <c r="E14" i="8"/>
  <c r="J21" i="7"/>
  <c r="E16" i="8"/>
  <c r="J22" i="7"/>
  <c r="E17" i="8"/>
  <c r="O18" i="7"/>
  <c r="E13" i="8"/>
  <c r="N83" i="7"/>
  <c r="O83" i="7" s="1"/>
  <c r="F32" i="7"/>
  <c r="E32" i="7" s="1"/>
  <c r="I60" i="7"/>
  <c r="D62" i="6"/>
  <c r="D63" i="6"/>
  <c r="I61" i="7"/>
  <c r="D60" i="6"/>
  <c r="I63" i="7"/>
  <c r="D59" i="6"/>
  <c r="I62" i="7"/>
  <c r="E20" i="7"/>
  <c r="H24" i="6" s="1"/>
  <c r="O22" i="7"/>
  <c r="O21" i="7"/>
  <c r="J18" i="7"/>
  <c r="J19" i="7"/>
  <c r="L65" i="7"/>
  <c r="K69" i="7"/>
  <c r="J65" i="7"/>
  <c r="G61" i="7"/>
  <c r="M62" i="7"/>
  <c r="G59" i="7"/>
  <c r="M61" i="7"/>
  <c r="M63" i="7"/>
  <c r="K59" i="7"/>
  <c r="E65" i="7"/>
  <c r="G60" i="7"/>
  <c r="G62" i="7"/>
  <c r="M59" i="7"/>
  <c r="K63" i="7"/>
  <c r="M60" i="7"/>
  <c r="G69" i="7"/>
  <c r="F6" i="1"/>
  <c r="E6" i="1" s="1"/>
  <c r="E39" i="7"/>
  <c r="F39" i="7"/>
  <c r="G39" i="7"/>
  <c r="E19" i="8" l="1"/>
  <c r="D65" i="6"/>
  <c r="I65" i="7"/>
  <c r="G65" i="7"/>
  <c r="K65" i="7"/>
  <c r="K70" i="7" s="1"/>
  <c r="G70" i="7" s="1"/>
  <c r="M65" i="7"/>
  <c r="F70" i="7" l="1"/>
  <c r="J70" i="7"/>
  <c r="E70" i="7"/>
  <c r="E69" i="7"/>
  <c r="J41" i="6" l="1"/>
  <c r="G41" i="6"/>
  <c r="D41" i="6"/>
  <c r="T24" i="6"/>
  <c r="K29" i="6"/>
  <c r="L29" i="6"/>
  <c r="K30" i="6"/>
  <c r="L30" i="6"/>
  <c r="K31" i="6"/>
  <c r="L31" i="6"/>
  <c r="K32" i="6"/>
  <c r="L32" i="6"/>
  <c r="L35" i="6" s="1"/>
  <c r="K33" i="6"/>
  <c r="L33" i="6"/>
  <c r="J30" i="6"/>
  <c r="J31" i="6"/>
  <c r="J32" i="6"/>
  <c r="J33" i="6"/>
  <c r="J29" i="6"/>
  <c r="H29" i="6"/>
  <c r="I29" i="6"/>
  <c r="H30" i="6"/>
  <c r="I30" i="6"/>
  <c r="H31" i="6"/>
  <c r="I31" i="6"/>
  <c r="H32" i="6"/>
  <c r="I32" i="6"/>
  <c r="H33" i="6"/>
  <c r="I33" i="6"/>
  <c r="G30" i="6"/>
  <c r="G31" i="6"/>
  <c r="G32" i="6"/>
  <c r="G33" i="6"/>
  <c r="G29" i="6"/>
  <c r="E29" i="6"/>
  <c r="F29" i="6"/>
  <c r="E30" i="6"/>
  <c r="F30" i="6"/>
  <c r="E31" i="6"/>
  <c r="F31" i="6"/>
  <c r="E32" i="6"/>
  <c r="F32" i="6"/>
  <c r="E33" i="6"/>
  <c r="F33" i="6"/>
  <c r="D30" i="6"/>
  <c r="D31" i="6"/>
  <c r="D32" i="6"/>
  <c r="D33" i="6"/>
  <c r="D29" i="6"/>
  <c r="B30" i="6"/>
  <c r="B31" i="6"/>
  <c r="B32" i="6"/>
  <c r="B33" i="6"/>
  <c r="B29" i="6"/>
  <c r="C30" i="6"/>
  <c r="C31" i="6"/>
  <c r="C32" i="6"/>
  <c r="C33" i="6"/>
  <c r="C29" i="6"/>
  <c r="L28" i="6"/>
  <c r="K28" i="6"/>
  <c r="I28" i="6"/>
  <c r="H28" i="6"/>
  <c r="F28" i="6"/>
  <c r="E28" i="6"/>
  <c r="Q22" i="6"/>
  <c r="Q21" i="6"/>
  <c r="Q20" i="6"/>
  <c r="Q19" i="6"/>
  <c r="Q18" i="6"/>
  <c r="P22" i="6"/>
  <c r="P21" i="6"/>
  <c r="P20" i="6"/>
  <c r="P19" i="6"/>
  <c r="P18" i="6"/>
  <c r="O22" i="6"/>
  <c r="O21" i="6"/>
  <c r="O20" i="6"/>
  <c r="O19" i="6"/>
  <c r="O18" i="6"/>
  <c r="N22" i="6"/>
  <c r="N21" i="6"/>
  <c r="N20" i="6"/>
  <c r="N19" i="6"/>
  <c r="N18" i="6"/>
  <c r="M22" i="6"/>
  <c r="M21" i="6"/>
  <c r="M20" i="6"/>
  <c r="M19" i="6"/>
  <c r="M18" i="6"/>
  <c r="L22" i="6"/>
  <c r="L21" i="6"/>
  <c r="L20" i="6"/>
  <c r="L19" i="6"/>
  <c r="L18" i="6"/>
  <c r="K22" i="6"/>
  <c r="K21" i="6"/>
  <c r="K20" i="6"/>
  <c r="K19" i="6"/>
  <c r="K18" i="6"/>
  <c r="J22" i="6"/>
  <c r="J21" i="6"/>
  <c r="J20" i="6"/>
  <c r="J19" i="6"/>
  <c r="J18" i="6"/>
  <c r="I22" i="6"/>
  <c r="I21" i="6"/>
  <c r="I20" i="6"/>
  <c r="I19" i="6"/>
  <c r="I18" i="6"/>
  <c r="H22" i="6"/>
  <c r="H21" i="6"/>
  <c r="H20" i="6"/>
  <c r="H19" i="6"/>
  <c r="H18" i="6"/>
  <c r="E22" i="6"/>
  <c r="E21" i="6"/>
  <c r="E20" i="6"/>
  <c r="E19" i="6"/>
  <c r="E18" i="6"/>
  <c r="D22" i="6"/>
  <c r="D21" i="6"/>
  <c r="D20" i="6"/>
  <c r="D19" i="6"/>
  <c r="D18" i="6"/>
  <c r="R16" i="6"/>
  <c r="S16" i="6"/>
  <c r="T16" i="6"/>
  <c r="U16" i="6"/>
  <c r="V16" i="6"/>
  <c r="R15" i="6"/>
  <c r="S15" i="6"/>
  <c r="S19" i="6" s="1"/>
  <c r="T15" i="6"/>
  <c r="U15" i="6"/>
  <c r="V15" i="6"/>
  <c r="R14" i="6"/>
  <c r="S14" i="6"/>
  <c r="T14" i="6"/>
  <c r="U14" i="6"/>
  <c r="V14" i="6"/>
  <c r="V19" i="6" s="1"/>
  <c r="R13" i="6"/>
  <c r="S13" i="6"/>
  <c r="S20" i="6" s="1"/>
  <c r="T13" i="6"/>
  <c r="U13" i="6"/>
  <c r="V13" i="6"/>
  <c r="U12" i="6"/>
  <c r="U21" i="6" s="1"/>
  <c r="V12" i="6"/>
  <c r="V21" i="6" s="1"/>
  <c r="T12" i="6"/>
  <c r="T18" i="6" s="1"/>
  <c r="S12" i="6"/>
  <c r="S22" i="6" s="1"/>
  <c r="R12" i="6"/>
  <c r="R20" i="6" s="1"/>
  <c r="V11" i="6"/>
  <c r="U11" i="6"/>
  <c r="Q11" i="6"/>
  <c r="P11" i="6"/>
  <c r="N11" i="6"/>
  <c r="M11" i="6"/>
  <c r="K11" i="6"/>
  <c r="J11" i="6"/>
  <c r="L62" i="1"/>
  <c r="K62" i="1"/>
  <c r="J62" i="1"/>
  <c r="I62" i="1"/>
  <c r="H62" i="1"/>
  <c r="L56" i="1"/>
  <c r="K56" i="1"/>
  <c r="J56" i="1"/>
  <c r="I56" i="1"/>
  <c r="H56" i="1"/>
  <c r="H57" i="1" s="1"/>
  <c r="I54" i="1" s="1"/>
  <c r="I50" i="1"/>
  <c r="J50" i="1"/>
  <c r="K50" i="1"/>
  <c r="L50" i="1"/>
  <c r="H50" i="1"/>
  <c r="F234" i="1"/>
  <c r="G234" i="1"/>
  <c r="E234" i="1"/>
  <c r="F233" i="1"/>
  <c r="G233" i="1"/>
  <c r="E233" i="1"/>
  <c r="G225" i="1"/>
  <c r="F225" i="1"/>
  <c r="G224" i="1"/>
  <c r="H224" i="1" s="1"/>
  <c r="I224" i="1" s="1"/>
  <c r="J224" i="1" s="1"/>
  <c r="K224" i="1" s="1"/>
  <c r="L224" i="1" s="1"/>
  <c r="H18" i="1"/>
  <c r="I18" i="1" s="1"/>
  <c r="J18" i="1" s="1"/>
  <c r="K18" i="1" s="1"/>
  <c r="L18" i="1" s="1"/>
  <c r="L131" i="1" s="1"/>
  <c r="F36" i="1"/>
  <c r="G36" i="1"/>
  <c r="E36" i="1"/>
  <c r="G216" i="1" a="1"/>
  <c r="G216" i="1" s="1"/>
  <c r="I93" i="8" s="1"/>
  <c r="J93" i="8" s="1"/>
  <c r="H212" i="1"/>
  <c r="H135" i="1" s="1"/>
  <c r="J95" i="8" l="1"/>
  <c r="K152" i="8"/>
  <c r="R21" i="6"/>
  <c r="T19" i="6"/>
  <c r="U22" i="6"/>
  <c r="R22" i="6"/>
  <c r="T20" i="6"/>
  <c r="V18" i="6"/>
  <c r="R18" i="6"/>
  <c r="S21" i="6"/>
  <c r="U19" i="6"/>
  <c r="V22" i="6"/>
  <c r="L37" i="6"/>
  <c r="U18" i="6"/>
  <c r="K35" i="6"/>
  <c r="R19" i="6"/>
  <c r="U20" i="6"/>
  <c r="D39" i="6"/>
  <c r="K39" i="6"/>
  <c r="S18" i="6"/>
  <c r="T21" i="6"/>
  <c r="T22" i="6"/>
  <c r="V20" i="6"/>
  <c r="L39" i="6"/>
  <c r="L37" i="7"/>
  <c r="O65" i="8"/>
  <c r="G38" i="6"/>
  <c r="I37" i="6"/>
  <c r="F224" i="1"/>
  <c r="E224" i="1" s="1"/>
  <c r="J37" i="6"/>
  <c r="D36" i="6"/>
  <c r="I39" i="6"/>
  <c r="F38" i="6"/>
  <c r="H36" i="6"/>
  <c r="E35" i="6"/>
  <c r="G39" i="6"/>
  <c r="H39" i="6"/>
  <c r="E38" i="6"/>
  <c r="G36" i="6"/>
  <c r="D35" i="6"/>
  <c r="F39" i="6"/>
  <c r="H37" i="6"/>
  <c r="E36" i="6"/>
  <c r="E39" i="6"/>
  <c r="G37" i="6"/>
  <c r="I35" i="6"/>
  <c r="D37" i="6"/>
  <c r="I38" i="6"/>
  <c r="F37" i="6"/>
  <c r="H35" i="6"/>
  <c r="D38" i="6"/>
  <c r="H38" i="6"/>
  <c r="E37" i="6"/>
  <c r="G35" i="6"/>
  <c r="F36" i="6"/>
  <c r="K204" i="1"/>
  <c r="I36" i="6"/>
  <c r="F35" i="6"/>
  <c r="L38" i="6"/>
  <c r="K37" i="6"/>
  <c r="L36" i="6"/>
  <c r="K36" i="6"/>
  <c r="K38" i="6"/>
  <c r="J35" i="6"/>
  <c r="J39" i="6"/>
  <c r="J36" i="6"/>
  <c r="J38" i="6"/>
  <c r="H204" i="1"/>
  <c r="L204" i="1"/>
  <c r="J204" i="1"/>
  <c r="I204" i="1"/>
  <c r="I57" i="1"/>
  <c r="H51" i="1"/>
  <c r="I48" i="1" s="1"/>
  <c r="I51" i="1" s="1"/>
  <c r="H63" i="1"/>
  <c r="I60" i="1" s="1"/>
  <c r="I63" i="1" s="1"/>
  <c r="H131" i="1"/>
  <c r="I131" i="1"/>
  <c r="J131" i="1"/>
  <c r="K131" i="1"/>
  <c r="H66" i="1"/>
  <c r="K188" i="8" l="1"/>
  <c r="K69" i="8"/>
  <c r="J37" i="7"/>
  <c r="M65" i="8"/>
  <c r="I37" i="7"/>
  <c r="L65" i="8"/>
  <c r="H37" i="7"/>
  <c r="K65" i="8"/>
  <c r="C48" i="6" a="1"/>
  <c r="C48" i="6" s="1"/>
  <c r="K37" i="7"/>
  <c r="N65" i="8"/>
  <c r="I172" i="1"/>
  <c r="I66" i="1"/>
  <c r="H172" i="1"/>
  <c r="H165" i="1"/>
  <c r="H67" i="1"/>
  <c r="J60" i="1"/>
  <c r="J63" i="1" s="1"/>
  <c r="I67" i="1"/>
  <c r="H65" i="1"/>
  <c r="J54" i="1"/>
  <c r="J57" i="1" s="1"/>
  <c r="H68" i="1" l="1"/>
  <c r="J172" i="1"/>
  <c r="I165" i="1"/>
  <c r="I65" i="1"/>
  <c r="I68" i="1" s="1"/>
  <c r="J48" i="1"/>
  <c r="J51" i="1" s="1"/>
  <c r="K54" i="1"/>
  <c r="K57" i="1" s="1"/>
  <c r="J67" i="1"/>
  <c r="K60" i="1"/>
  <c r="K63" i="1" s="1"/>
  <c r="K172" i="1" l="1"/>
  <c r="L54" i="1"/>
  <c r="L57" i="1" s="1"/>
  <c r="J65" i="1"/>
  <c r="K66" i="1"/>
  <c r="J66" i="1"/>
  <c r="K67" i="1"/>
  <c r="L66" i="1" l="1"/>
  <c r="J68" i="1"/>
  <c r="K48" i="1"/>
  <c r="K51" i="1" s="1"/>
  <c r="J165" i="1"/>
  <c r="L60" i="1"/>
  <c r="L63" i="1" s="1"/>
  <c r="L172" i="1" s="1"/>
  <c r="K65" i="1" l="1"/>
  <c r="K68" i="1" s="1"/>
  <c r="L48" i="1" l="1"/>
  <c r="L51" i="1" s="1"/>
  <c r="K165" i="1"/>
  <c r="L67" i="1"/>
  <c r="L165" i="1" l="1"/>
  <c r="L65" i="1"/>
  <c r="L68" i="1" s="1"/>
  <c r="E153" i="1" l="1"/>
  <c r="F153" i="1"/>
  <c r="G153" i="1"/>
  <c r="G160" i="1"/>
  <c r="E160" i="1"/>
  <c r="F160" i="1"/>
  <c r="G169" i="1"/>
  <c r="E169" i="1"/>
  <c r="F169" i="1"/>
  <c r="F175" i="1"/>
  <c r="G175" i="1"/>
  <c r="E175" i="1"/>
  <c r="E185" i="1"/>
  <c r="F185" i="1"/>
  <c r="G185" i="1"/>
  <c r="G188" i="1"/>
  <c r="F188" i="1" s="1"/>
  <c r="E188" i="1" s="1"/>
  <c r="F195" i="1"/>
  <c r="E195" i="1"/>
  <c r="G195" i="1"/>
  <c r="E201" i="1"/>
  <c r="G201" i="1"/>
  <c r="F201" i="1"/>
  <c r="F209" i="1"/>
  <c r="E209" i="1"/>
  <c r="G209" i="1"/>
  <c r="G23" i="1"/>
  <c r="H23" i="1" s="1"/>
  <c r="I23" i="1" s="1"/>
  <c r="J23" i="1" s="1"/>
  <c r="K23" i="1" s="1"/>
  <c r="L23" i="1" s="1"/>
  <c r="F81" i="1"/>
  <c r="G81" i="1"/>
  <c r="G92" i="1"/>
  <c r="F92" i="1"/>
  <c r="E92" i="1"/>
  <c r="F80" i="1"/>
  <c r="E80" i="1"/>
  <c r="E81" i="1"/>
  <c r="G75" i="1"/>
  <c r="G76" i="1" s="1"/>
  <c r="G73" i="1"/>
  <c r="F75" i="1"/>
  <c r="F76" i="1" s="1"/>
  <c r="F73" i="1"/>
  <c r="E73" i="1"/>
  <c r="E74" i="1" s="1"/>
  <c r="E75" i="1"/>
  <c r="E76" i="1" s="1"/>
  <c r="F110" i="1"/>
  <c r="G110" i="1"/>
  <c r="E110" i="1"/>
  <c r="H102" i="1"/>
  <c r="I102" i="1" s="1"/>
  <c r="J102" i="1" s="1"/>
  <c r="K102" i="1" s="1"/>
  <c r="L102" i="1" s="1"/>
  <c r="H115" i="1"/>
  <c r="F100" i="1"/>
  <c r="F106" i="1" s="1"/>
  <c r="G100" i="1"/>
  <c r="G106" i="1" s="1"/>
  <c r="E100" i="1"/>
  <c r="E106" i="1" s="1"/>
  <c r="F17" i="1"/>
  <c r="G17" i="1"/>
  <c r="E17" i="1"/>
  <c r="F15" i="1"/>
  <c r="G15" i="1"/>
  <c r="E15" i="1"/>
  <c r="I9" i="1"/>
  <c r="J9" i="1"/>
  <c r="K9" i="1"/>
  <c r="L9" i="1"/>
  <c r="H9" i="1"/>
  <c r="H8" i="1" s="1"/>
  <c r="H16" i="1" s="1"/>
  <c r="H129" i="1" s="1"/>
  <c r="G9" i="1"/>
  <c r="F9" i="1"/>
  <c r="G31" i="1"/>
  <c r="F31" i="1"/>
  <c r="E31" i="1"/>
  <c r="E29" i="1"/>
  <c r="F29" i="1"/>
  <c r="G29" i="1"/>
  <c r="H35" i="7" l="1"/>
  <c r="K63" i="8"/>
  <c r="E177" i="1"/>
  <c r="G162" i="1"/>
  <c r="G211" i="1"/>
  <c r="E211" i="1"/>
  <c r="E214" i="1" s="1"/>
  <c r="F177" i="1"/>
  <c r="F162" i="1"/>
  <c r="E162" i="1"/>
  <c r="G177" i="1"/>
  <c r="F211" i="1"/>
  <c r="F23" i="1"/>
  <c r="G25" i="1" s="1"/>
  <c r="F32" i="1"/>
  <c r="H152" i="1"/>
  <c r="H29" i="1"/>
  <c r="I29" i="1" s="1"/>
  <c r="J29" i="1" s="1"/>
  <c r="K29" i="1" s="1"/>
  <c r="L29" i="1" s="1"/>
  <c r="G32" i="1"/>
  <c r="H31" i="1"/>
  <c r="I31" i="1" s="1"/>
  <c r="G28" i="1"/>
  <c r="E28" i="1"/>
  <c r="F28" i="1"/>
  <c r="F77" i="1"/>
  <c r="E82" i="1"/>
  <c r="F82" i="1"/>
  <c r="G82" i="1"/>
  <c r="G80" i="1"/>
  <c r="H80" i="1" s="1"/>
  <c r="H79" i="1" s="1"/>
  <c r="G77" i="1"/>
  <c r="H76" i="1"/>
  <c r="E77" i="1"/>
  <c r="F74" i="1"/>
  <c r="G74" i="1"/>
  <c r="E98" i="1"/>
  <c r="G98" i="1"/>
  <c r="F98" i="1"/>
  <c r="H120" i="1"/>
  <c r="E111" i="1"/>
  <c r="G111" i="1"/>
  <c r="F111" i="1"/>
  <c r="E108" i="1"/>
  <c r="G108" i="1"/>
  <c r="F108" i="1"/>
  <c r="H106" i="1"/>
  <c r="H14" i="1"/>
  <c r="H128" i="1" s="1"/>
  <c r="H127" i="1"/>
  <c r="I8" i="1"/>
  <c r="K62" i="8" l="1"/>
  <c r="H34" i="7"/>
  <c r="K61" i="8"/>
  <c r="K250" i="8" s="1"/>
  <c r="H33" i="7"/>
  <c r="H225" i="1"/>
  <c r="J24" i="6"/>
  <c r="E41" i="6" s="1"/>
  <c r="E179" i="1"/>
  <c r="F212" i="1"/>
  <c r="F214" i="1" s="1"/>
  <c r="F219" i="1" s="1"/>
  <c r="F216" i="1" s="1" a="1"/>
  <c r="F216" i="1" s="1"/>
  <c r="E219" i="1"/>
  <c r="E216" i="1" s="1" a="1"/>
  <c r="E216" i="1" s="1"/>
  <c r="G24" i="1"/>
  <c r="E23" i="1"/>
  <c r="F24" i="1" s="1"/>
  <c r="F179" i="1"/>
  <c r="G26" i="1"/>
  <c r="G179" i="1"/>
  <c r="I152" i="1"/>
  <c r="H200" i="1"/>
  <c r="K137" i="8" s="1"/>
  <c r="H28" i="1"/>
  <c r="I28" i="1" s="1"/>
  <c r="J28" i="1" s="1"/>
  <c r="K28" i="1" s="1"/>
  <c r="L28" i="1" s="1"/>
  <c r="J31" i="1"/>
  <c r="H75" i="1"/>
  <c r="H90" i="1" s="1"/>
  <c r="H86" i="1"/>
  <c r="I80" i="1"/>
  <c r="H74" i="1"/>
  <c r="H82" i="1"/>
  <c r="H98" i="1"/>
  <c r="I98" i="1" s="1"/>
  <c r="J98" i="1" s="1"/>
  <c r="K98" i="1" s="1"/>
  <c r="L98" i="1" s="1"/>
  <c r="H111" i="1"/>
  <c r="H110" i="1" s="1"/>
  <c r="I106" i="1"/>
  <c r="H105" i="1"/>
  <c r="H108" i="1"/>
  <c r="I14" i="1"/>
  <c r="I128" i="1" s="1"/>
  <c r="I16" i="1"/>
  <c r="I129" i="1" s="1"/>
  <c r="J8" i="1"/>
  <c r="I127" i="1"/>
  <c r="H136" i="1" l="1"/>
  <c r="K234" i="8"/>
  <c r="L61" i="8"/>
  <c r="L250" i="8" s="1"/>
  <c r="I33" i="7"/>
  <c r="I35" i="7"/>
  <c r="L63" i="8"/>
  <c r="L62" i="8"/>
  <c r="I34" i="7"/>
  <c r="I225" i="1"/>
  <c r="K24" i="6"/>
  <c r="G237" i="1"/>
  <c r="F25" i="1"/>
  <c r="F26" i="1"/>
  <c r="D23" i="1"/>
  <c r="E24" i="1" s="1"/>
  <c r="G212" i="1"/>
  <c r="H159" i="1"/>
  <c r="K94" i="8" s="1"/>
  <c r="J152" i="1"/>
  <c r="I200" i="1"/>
  <c r="L137" i="8" s="1"/>
  <c r="I116" i="1"/>
  <c r="I159" i="1"/>
  <c r="L94" i="8" s="1"/>
  <c r="K31" i="1"/>
  <c r="H73" i="1"/>
  <c r="I82" i="1"/>
  <c r="J82" i="1" s="1"/>
  <c r="H81" i="1"/>
  <c r="J80" i="1"/>
  <c r="I75" i="1"/>
  <c r="I90" i="1" s="1"/>
  <c r="I73" i="1"/>
  <c r="I111" i="1"/>
  <c r="I121" i="1"/>
  <c r="H113" i="1"/>
  <c r="H205" i="1" s="1"/>
  <c r="K142" i="8" s="1"/>
  <c r="K146" i="8" s="1"/>
  <c r="H116" i="1"/>
  <c r="H121" i="1"/>
  <c r="I108" i="1"/>
  <c r="H107" i="1"/>
  <c r="J106" i="1"/>
  <c r="J16" i="1"/>
  <c r="J129" i="1" s="1"/>
  <c r="J14" i="1"/>
  <c r="J128" i="1" s="1"/>
  <c r="K8" i="1"/>
  <c r="J127" i="1"/>
  <c r="J200" i="1" l="1"/>
  <c r="M137" i="8" s="1"/>
  <c r="M61" i="8"/>
  <c r="M250" i="8" s="1"/>
  <c r="J33" i="7"/>
  <c r="J35" i="7"/>
  <c r="M63" i="8"/>
  <c r="M62" i="8"/>
  <c r="J34" i="7"/>
  <c r="R24" i="6"/>
  <c r="F41" i="6"/>
  <c r="J225" i="1"/>
  <c r="F237" i="1"/>
  <c r="H24" i="1"/>
  <c r="H157" i="1" s="1"/>
  <c r="K92" i="8" s="1"/>
  <c r="E26" i="1"/>
  <c r="H26" i="1" s="1"/>
  <c r="I26" i="1" s="1"/>
  <c r="E25" i="1"/>
  <c r="H25" i="1" s="1"/>
  <c r="H156" i="1" s="1"/>
  <c r="K91" i="8" s="1"/>
  <c r="K152" i="1"/>
  <c r="J75" i="1"/>
  <c r="J90" i="1" s="1"/>
  <c r="J159" i="1"/>
  <c r="M94" i="8" s="1"/>
  <c r="L31" i="1"/>
  <c r="H91" i="1"/>
  <c r="H92" i="1" s="1"/>
  <c r="H191" i="1"/>
  <c r="K126" i="8" s="1"/>
  <c r="H130" i="1"/>
  <c r="K82" i="1"/>
  <c r="L82" i="1" s="1"/>
  <c r="I77" i="1"/>
  <c r="I85" i="1"/>
  <c r="H77" i="1"/>
  <c r="H85" i="1"/>
  <c r="H87" i="1" s="1"/>
  <c r="K80" i="1"/>
  <c r="J73" i="1"/>
  <c r="H117" i="1"/>
  <c r="H118" i="1" s="1"/>
  <c r="I115" i="1" s="1"/>
  <c r="H192" i="1"/>
  <c r="K127" i="8" s="1"/>
  <c r="H122" i="1"/>
  <c r="H123" i="1" s="1"/>
  <c r="J111" i="1"/>
  <c r="K111" i="1" s="1"/>
  <c r="L111" i="1" s="1"/>
  <c r="K106" i="1"/>
  <c r="J108" i="1"/>
  <c r="K16" i="1"/>
  <c r="K129" i="1" s="1"/>
  <c r="K14" i="1"/>
  <c r="K128" i="1" s="1"/>
  <c r="L8" i="1"/>
  <c r="K127" i="1"/>
  <c r="K200" i="1" l="1"/>
  <c r="N137" i="8" s="1"/>
  <c r="N61" i="8"/>
  <c r="N250" i="8" s="1"/>
  <c r="K33" i="7"/>
  <c r="H36" i="7"/>
  <c r="H39" i="7" s="1"/>
  <c r="K64" i="8"/>
  <c r="K67" i="8" s="1"/>
  <c r="K228" i="8" s="1"/>
  <c r="N62" i="8"/>
  <c r="K34" i="7"/>
  <c r="K35" i="7"/>
  <c r="N63" i="8"/>
  <c r="H44" i="7"/>
  <c r="K225" i="1"/>
  <c r="E237" i="1"/>
  <c r="I24" i="1"/>
  <c r="H237" i="1"/>
  <c r="I25" i="1"/>
  <c r="I156" i="1" s="1"/>
  <c r="L91" i="8" s="1"/>
  <c r="H167" i="1"/>
  <c r="K102" i="8" s="1"/>
  <c r="L152" i="1"/>
  <c r="H198" i="1"/>
  <c r="H133" i="1"/>
  <c r="H174" i="1"/>
  <c r="K109" i="8" s="1"/>
  <c r="H168" i="1"/>
  <c r="K103" i="8" s="1"/>
  <c r="K75" i="1"/>
  <c r="K90" i="1" s="1"/>
  <c r="K159" i="1"/>
  <c r="N94" i="8" s="1"/>
  <c r="J26" i="1"/>
  <c r="I167" i="1"/>
  <c r="L102" i="8" s="1"/>
  <c r="I198" i="1"/>
  <c r="J77" i="1"/>
  <c r="J85" i="1"/>
  <c r="I84" i="1"/>
  <c r="I79" i="1" s="1"/>
  <c r="H150" i="1"/>
  <c r="K85" i="8" s="1"/>
  <c r="I89" i="1"/>
  <c r="H149" i="1"/>
  <c r="K84" i="8" s="1"/>
  <c r="L80" i="1"/>
  <c r="K73" i="1"/>
  <c r="I120" i="1"/>
  <c r="H100" i="1"/>
  <c r="J116" i="1"/>
  <c r="J121" i="1"/>
  <c r="K108" i="1"/>
  <c r="L106" i="1"/>
  <c r="L127" i="1"/>
  <c r="L16" i="1"/>
  <c r="L129" i="1" s="1"/>
  <c r="L14" i="1"/>
  <c r="L128" i="1" s="1"/>
  <c r="K251" i="8" l="1"/>
  <c r="I46" i="7"/>
  <c r="L135" i="8"/>
  <c r="L138" i="8" s="1"/>
  <c r="H46" i="7"/>
  <c r="K135" i="8"/>
  <c r="K138" i="8" s="1"/>
  <c r="L200" i="1"/>
  <c r="O137" i="8" s="1"/>
  <c r="L35" i="7"/>
  <c r="O63" i="8"/>
  <c r="O62" i="8"/>
  <c r="L34" i="7"/>
  <c r="O61" i="8"/>
  <c r="O250" i="8" s="1"/>
  <c r="L33" i="7"/>
  <c r="H234" i="1"/>
  <c r="H201" i="1"/>
  <c r="H233" i="1"/>
  <c r="J24" i="1"/>
  <c r="I237" i="1"/>
  <c r="I157" i="1"/>
  <c r="L92" i="8" s="1"/>
  <c r="H138" i="1"/>
  <c r="H226" i="1"/>
  <c r="I201" i="1"/>
  <c r="I233" i="1"/>
  <c r="L225" i="1"/>
  <c r="J25" i="1"/>
  <c r="K25" i="1" s="1"/>
  <c r="H194" i="1"/>
  <c r="L75" i="1"/>
  <c r="L90" i="1" s="1"/>
  <c r="L159" i="1"/>
  <c r="O94" i="8" s="1"/>
  <c r="J198" i="1"/>
  <c r="H193" i="1"/>
  <c r="K128" i="8" s="1"/>
  <c r="K26" i="1"/>
  <c r="J167" i="1"/>
  <c r="M102" i="8" s="1"/>
  <c r="I81" i="1"/>
  <c r="I91" i="1" s="1"/>
  <c r="I92" i="1" s="1"/>
  <c r="K77" i="1"/>
  <c r="K85" i="1"/>
  <c r="I86" i="1"/>
  <c r="I87" i="1" s="1"/>
  <c r="L73" i="1"/>
  <c r="I110" i="1"/>
  <c r="H97" i="1"/>
  <c r="I105" i="1"/>
  <c r="I107" i="1"/>
  <c r="L116" i="1"/>
  <c r="L121" i="1"/>
  <c r="K116" i="1"/>
  <c r="K121" i="1"/>
  <c r="L108" i="1"/>
  <c r="I136" i="1" l="1"/>
  <c r="L234" i="8"/>
  <c r="J46" i="7"/>
  <c r="M135" i="8"/>
  <c r="M138" i="8" s="1"/>
  <c r="H45" i="7"/>
  <c r="K129" i="8"/>
  <c r="H231" i="1"/>
  <c r="M24" i="6"/>
  <c r="H227" i="1"/>
  <c r="J201" i="1"/>
  <c r="J233" i="1"/>
  <c r="K24" i="1"/>
  <c r="J237" i="1"/>
  <c r="J157" i="1"/>
  <c r="M92" i="8" s="1"/>
  <c r="J156" i="1"/>
  <c r="M91" i="8" s="1"/>
  <c r="I130" i="1"/>
  <c r="L64" i="8" s="1"/>
  <c r="L67" i="8" s="1"/>
  <c r="L228" i="8" s="1"/>
  <c r="I191" i="1"/>
  <c r="L25" i="1"/>
  <c r="L156" i="1" s="1"/>
  <c r="O91" i="8" s="1"/>
  <c r="K156" i="1"/>
  <c r="N91" i="8" s="1"/>
  <c r="K198" i="1"/>
  <c r="H166" i="1"/>
  <c r="K101" i="8" s="1"/>
  <c r="L26" i="1"/>
  <c r="L167" i="1" s="1"/>
  <c r="O102" i="8" s="1"/>
  <c r="K167" i="1"/>
  <c r="N102" i="8" s="1"/>
  <c r="J84" i="1"/>
  <c r="J79" i="1" s="1"/>
  <c r="I150" i="1"/>
  <c r="L85" i="8" s="1"/>
  <c r="L77" i="1"/>
  <c r="L85" i="1"/>
  <c r="J89" i="1"/>
  <c r="J81" i="1" s="1"/>
  <c r="J91" i="1" s="1"/>
  <c r="J92" i="1" s="1"/>
  <c r="I149" i="1"/>
  <c r="L84" i="8" s="1"/>
  <c r="I117" i="1"/>
  <c r="I118" i="1" s="1"/>
  <c r="I192" i="1"/>
  <c r="L127" i="8" s="1"/>
  <c r="H99" i="1"/>
  <c r="I113" i="1"/>
  <c r="I205" i="1" s="1"/>
  <c r="L142" i="8" s="1"/>
  <c r="L146" i="8" s="1"/>
  <c r="L251" i="8" l="1"/>
  <c r="I44" i="7"/>
  <c r="L126" i="8"/>
  <c r="K46" i="7"/>
  <c r="N135" i="8"/>
  <c r="N138" i="8" s="1"/>
  <c r="H41" i="6"/>
  <c r="AA11" i="9" s="1"/>
  <c r="U24" i="6"/>
  <c r="I133" i="1"/>
  <c r="I226" i="1" s="1"/>
  <c r="N24" i="6" s="1"/>
  <c r="I36" i="7"/>
  <c r="I39" i="7" s="1"/>
  <c r="I168" i="1"/>
  <c r="L24" i="1"/>
  <c r="K237" i="1"/>
  <c r="K157" i="1"/>
  <c r="N92" i="8" s="1"/>
  <c r="H169" i="1"/>
  <c r="K201" i="1"/>
  <c r="K233" i="1"/>
  <c r="I174" i="1"/>
  <c r="H173" i="1"/>
  <c r="K108" i="8" s="1"/>
  <c r="L198" i="1"/>
  <c r="K89" i="1"/>
  <c r="K81" i="1" s="1"/>
  <c r="K91" i="1" s="1"/>
  <c r="K92" i="1" s="1"/>
  <c r="J149" i="1"/>
  <c r="M84" i="8" s="1"/>
  <c r="J86" i="1"/>
  <c r="J87" i="1" s="1"/>
  <c r="J191" i="1"/>
  <c r="M126" i="8" s="1"/>
  <c r="I122" i="1"/>
  <c r="I123" i="1" s="1"/>
  <c r="I100" i="1" s="1"/>
  <c r="AA12" i="9" l="1"/>
  <c r="L46" i="7"/>
  <c r="O135" i="8"/>
  <c r="O138" i="8" s="1"/>
  <c r="I194" i="1"/>
  <c r="L103" i="8"/>
  <c r="I193" i="1"/>
  <c r="L128" i="8" s="1"/>
  <c r="L109" i="8"/>
  <c r="I41" i="6"/>
  <c r="V24" i="6"/>
  <c r="S24" i="6"/>
  <c r="I234" i="1"/>
  <c r="I227" i="1"/>
  <c r="I231" i="1"/>
  <c r="L201" i="1"/>
  <c r="L233" i="1"/>
  <c r="L237" i="1"/>
  <c r="L157" i="1"/>
  <c r="O92" i="8" s="1"/>
  <c r="J120" i="1"/>
  <c r="K84" i="1"/>
  <c r="K79" i="1" s="1"/>
  <c r="J150" i="1"/>
  <c r="M85" i="8" s="1"/>
  <c r="L89" i="1"/>
  <c r="L81" i="1" s="1"/>
  <c r="L91" i="1" s="1"/>
  <c r="L92" i="1" s="1"/>
  <c r="L149" i="1" s="1"/>
  <c r="O84" i="8" s="1"/>
  <c r="K149" i="1"/>
  <c r="N84" i="8" s="1"/>
  <c r="J110" i="1"/>
  <c r="I97" i="1"/>
  <c r="J105" i="1"/>
  <c r="J107" i="1"/>
  <c r="J130" i="1" s="1"/>
  <c r="J136" i="1" l="1"/>
  <c r="M234" i="8"/>
  <c r="I45" i="7"/>
  <c r="L129" i="8"/>
  <c r="J36" i="7"/>
  <c r="J39" i="7" s="1"/>
  <c r="M64" i="8"/>
  <c r="M67" i="8" s="1"/>
  <c r="M228" i="8" s="1"/>
  <c r="M257" i="8" s="1"/>
  <c r="M259" i="8" s="1"/>
  <c r="I166" i="1"/>
  <c r="L101" i="8" s="1"/>
  <c r="J133" i="1"/>
  <c r="J174" i="1"/>
  <c r="M109" i="8" s="1"/>
  <c r="J168" i="1"/>
  <c r="M103" i="8" s="1"/>
  <c r="K86" i="1"/>
  <c r="K87" i="1" s="1"/>
  <c r="K191" i="1"/>
  <c r="N126" i="8" s="1"/>
  <c r="I99" i="1"/>
  <c r="J117" i="1"/>
  <c r="J192" i="1"/>
  <c r="J113" i="1"/>
  <c r="J205" i="1" s="1"/>
  <c r="M142" i="8" s="1"/>
  <c r="M146" i="8" s="1"/>
  <c r="M251" i="8" l="1"/>
  <c r="J44" i="7"/>
  <c r="M127" i="8"/>
  <c r="J194" i="1"/>
  <c r="J234" i="1"/>
  <c r="C76" i="9" s="1"/>
  <c r="J226" i="1"/>
  <c r="I169" i="1"/>
  <c r="I173" i="1"/>
  <c r="L108" i="8" s="1"/>
  <c r="J193" i="1"/>
  <c r="M128" i="8" s="1"/>
  <c r="L84" i="1"/>
  <c r="L79" i="1" s="1"/>
  <c r="K150" i="1"/>
  <c r="N85" i="8" s="1"/>
  <c r="J122" i="1"/>
  <c r="J123" i="1" s="1"/>
  <c r="J100" i="1" s="1"/>
  <c r="J45" i="7" l="1"/>
  <c r="M129" i="8"/>
  <c r="J227" i="1"/>
  <c r="J231" i="1"/>
  <c r="K120" i="1"/>
  <c r="L86" i="1"/>
  <c r="L87" i="1" s="1"/>
  <c r="L150" i="1" s="1"/>
  <c r="O85" i="8" s="1"/>
  <c r="L191" i="1"/>
  <c r="O126" i="8" s="1"/>
  <c r="K110" i="1"/>
  <c r="J97" i="1"/>
  <c r="K105" i="1"/>
  <c r="K107" i="1"/>
  <c r="K130" i="1" s="1"/>
  <c r="K136" i="1" l="1"/>
  <c r="N234" i="8"/>
  <c r="K36" i="7"/>
  <c r="K39" i="7" s="1"/>
  <c r="N64" i="8"/>
  <c r="N67" i="8" s="1"/>
  <c r="N228" i="8" s="1"/>
  <c r="N257" i="8" s="1"/>
  <c r="N259" i="8" s="1"/>
  <c r="K133" i="1"/>
  <c r="K174" i="1"/>
  <c r="N109" i="8" s="1"/>
  <c r="K168" i="1"/>
  <c r="N103" i="8" s="1"/>
  <c r="J166" i="1"/>
  <c r="M101" i="8" s="1"/>
  <c r="J99" i="1"/>
  <c r="K117" i="1"/>
  <c r="K192" i="1"/>
  <c r="K113" i="1"/>
  <c r="K205" i="1" s="1"/>
  <c r="N142" i="8" s="1"/>
  <c r="N146" i="8" s="1"/>
  <c r="N251" i="8" l="1"/>
  <c r="K44" i="7"/>
  <c r="N127" i="8"/>
  <c r="J169" i="1"/>
  <c r="K194" i="1"/>
  <c r="K234" i="1"/>
  <c r="K226" i="1"/>
  <c r="J173" i="1"/>
  <c r="M108" i="8" s="1"/>
  <c r="M263" i="8" s="1"/>
  <c r="K193" i="1"/>
  <c r="N128" i="8" s="1"/>
  <c r="K122" i="1"/>
  <c r="K123" i="1" s="1"/>
  <c r="K100" i="1" s="1"/>
  <c r="L107" i="1" s="1"/>
  <c r="L130" i="1" s="1"/>
  <c r="K45" i="7" l="1"/>
  <c r="N129" i="8"/>
  <c r="L36" i="7"/>
  <c r="L39" i="7" s="1"/>
  <c r="O64" i="8"/>
  <c r="O67" i="8" s="1"/>
  <c r="O228" i="8" s="1"/>
  <c r="O257" i="8" s="1"/>
  <c r="O259" i="8" s="1"/>
  <c r="K227" i="1"/>
  <c r="K231" i="1"/>
  <c r="L120" i="1"/>
  <c r="L133" i="1"/>
  <c r="L174" i="1"/>
  <c r="L168" i="1"/>
  <c r="O103" i="8" s="1"/>
  <c r="L105" i="1"/>
  <c r="L117" i="1"/>
  <c r="L192" i="1"/>
  <c r="L110" i="1"/>
  <c r="K97" i="1"/>
  <c r="L136" i="1" l="1"/>
  <c r="O234" i="8"/>
  <c r="O251" i="8"/>
  <c r="L44" i="7"/>
  <c r="O127" i="8"/>
  <c r="L193" i="1"/>
  <c r="O128" i="8" s="1"/>
  <c r="O109" i="8"/>
  <c r="L194" i="1"/>
  <c r="L234" i="1"/>
  <c r="L226" i="1"/>
  <c r="J7" i="7" s="1"/>
  <c r="J9" i="7" s="1"/>
  <c r="L113" i="1"/>
  <c r="L205" i="1" s="1"/>
  <c r="O142" i="8" s="1"/>
  <c r="O146" i="8" s="1"/>
  <c r="K166" i="1"/>
  <c r="N101" i="8" s="1"/>
  <c r="K99" i="1"/>
  <c r="L45" i="7" l="1"/>
  <c r="O129" i="8"/>
  <c r="K169" i="1"/>
  <c r="L227" i="1"/>
  <c r="L231" i="1"/>
  <c r="L122" i="1"/>
  <c r="L123" i="1" s="1"/>
  <c r="L100" i="1" s="1"/>
  <c r="L97" i="1" s="1"/>
  <c r="K173" i="1"/>
  <c r="N108" i="8" s="1"/>
  <c r="N263" i="8" s="1"/>
  <c r="L166" i="1" l="1"/>
  <c r="O101" i="8" s="1"/>
  <c r="L99" i="1"/>
  <c r="L169" i="1" l="1"/>
  <c r="L173" i="1"/>
  <c r="O108" i="8" s="1"/>
  <c r="O263" i="8" s="1"/>
  <c r="F133" i="1" l="1"/>
  <c r="G133" i="1"/>
  <c r="E133" i="1"/>
  <c r="E226" i="1" l="1"/>
  <c r="G226" i="1"/>
  <c r="F226" i="1"/>
  <c r="G231" i="1" l="1"/>
  <c r="G230" i="1"/>
  <c r="G227" i="1"/>
  <c r="F231" i="1"/>
  <c r="F230" i="1"/>
  <c r="F227" i="1"/>
  <c r="E227" i="1"/>
  <c r="E231" i="1"/>
  <c r="E230" i="1"/>
  <c r="F138" i="1" l="1"/>
  <c r="G138" i="1"/>
  <c r="E138" i="1"/>
  <c r="H188" i="1"/>
  <c r="I188" i="1" s="1"/>
  <c r="J188" i="1" s="1"/>
  <c r="K188" i="1" s="1"/>
  <c r="L188" i="1" s="1"/>
  <c r="G145" i="1"/>
  <c r="H145" i="1" s="1"/>
  <c r="I145" i="1" s="1"/>
  <c r="J145" i="1" s="1"/>
  <c r="K145" i="1" s="1"/>
  <c r="L145" i="1" s="1"/>
  <c r="G126" i="1"/>
  <c r="H126" i="1" s="1"/>
  <c r="I126" i="1" s="1"/>
  <c r="J126" i="1" s="1"/>
  <c r="K126" i="1" s="1"/>
  <c r="L126" i="1" s="1"/>
  <c r="E142" i="1" l="1"/>
  <c r="E21" i="1"/>
  <c r="G142" i="1"/>
  <c r="G21" i="1"/>
  <c r="F142" i="1"/>
  <c r="F21" i="1"/>
  <c r="F126" i="1"/>
  <c r="E126" i="1" s="1"/>
  <c r="F145" i="1"/>
  <c r="E145" i="1" s="1"/>
  <c r="L70" i="7" l="1"/>
  <c r="M70" i="7" s="1"/>
  <c r="F74" i="7" s="1"/>
  <c r="F78" i="7" s="1"/>
  <c r="L69" i="7"/>
  <c r="F235" i="1"/>
  <c r="F41" i="7"/>
  <c r="F42" i="7" s="1"/>
  <c r="F48" i="7" s="1"/>
  <c r="E235" i="1"/>
  <c r="E41" i="7"/>
  <c r="E42" i="7" s="1"/>
  <c r="E48" i="7" s="1"/>
  <c r="G235" i="1"/>
  <c r="G41" i="7"/>
  <c r="G42" i="7" s="1"/>
  <c r="G48" i="7" s="1"/>
  <c r="G24" i="6"/>
  <c r="G228" i="1"/>
  <c r="G39" i="1"/>
  <c r="F228" i="1"/>
  <c r="F39" i="1"/>
  <c r="E228" i="1"/>
  <c r="E39" i="1"/>
  <c r="H21" i="1"/>
  <c r="H20" i="1" s="1"/>
  <c r="F76" i="7" l="1"/>
  <c r="M69" i="7"/>
  <c r="F73" i="7" s="1"/>
  <c r="F77" i="7" s="1"/>
  <c r="E11" i="7" s="1"/>
  <c r="E72" i="9" s="1"/>
  <c r="H41" i="7"/>
  <c r="H42" i="7" s="1"/>
  <c r="H48" i="7" s="1"/>
  <c r="N23" i="8"/>
  <c r="I21" i="1"/>
  <c r="I41" i="7" s="1"/>
  <c r="I42" i="7" s="1"/>
  <c r="I48" i="7" s="1"/>
  <c r="H140" i="1"/>
  <c r="H142" i="1" s="1"/>
  <c r="J12" i="7" l="1"/>
  <c r="H38" i="1"/>
  <c r="H207" i="1" s="1"/>
  <c r="P24" i="6"/>
  <c r="H228" i="1"/>
  <c r="H190" i="1"/>
  <c r="H195" i="1" s="1"/>
  <c r="H35" i="1"/>
  <c r="H206" i="1" s="1"/>
  <c r="J21" i="1"/>
  <c r="J41" i="7" s="1"/>
  <c r="J42" i="7" s="1"/>
  <c r="J48" i="7" s="1"/>
  <c r="K41" i="6" l="1"/>
  <c r="H182" i="1"/>
  <c r="K21" i="1"/>
  <c r="K41" i="7" s="1"/>
  <c r="K42" i="7" s="1"/>
  <c r="K48" i="7" s="1"/>
  <c r="H185" i="1" l="1"/>
  <c r="L21" i="1"/>
  <c r="L41" i="7" s="1"/>
  <c r="L42" i="7" s="1"/>
  <c r="L48" i="7" s="1"/>
  <c r="O13" i="7" l="1"/>
  <c r="O9" i="7"/>
  <c r="J13" i="7"/>
  <c r="J14" i="7" s="1"/>
  <c r="J24" i="7" s="1"/>
  <c r="J28" i="7" s="1"/>
  <c r="J10" i="7"/>
  <c r="O10" i="7" l="1"/>
  <c r="O12" i="7"/>
  <c r="O14" i="7" s="1"/>
  <c r="J16" i="7"/>
  <c r="J29" i="7" l="1"/>
  <c r="AA10" i="9" s="1"/>
  <c r="D83" i="7"/>
  <c r="O24" i="7"/>
  <c r="O28" i="7" s="1"/>
  <c r="O16" i="7"/>
  <c r="D98" i="7" l="1"/>
  <c r="O29" i="7"/>
  <c r="H95" i="1" l="1"/>
  <c r="H151" i="1" s="1"/>
  <c r="H153" i="1" l="1"/>
  <c r="K86" i="8"/>
  <c r="I95" i="1"/>
  <c r="I151" i="1" s="1"/>
  <c r="J115" i="1"/>
  <c r="I153" i="1" l="1"/>
  <c r="L86" i="8"/>
  <c r="J118" i="1"/>
  <c r="J95" i="1" l="1"/>
  <c r="J151" i="1" s="1"/>
  <c r="K115" i="1"/>
  <c r="K118" i="1" s="1"/>
  <c r="K95" i="1" s="1"/>
  <c r="K151" i="1" s="1"/>
  <c r="K153" i="1" l="1"/>
  <c r="N86" i="8"/>
  <c r="J153" i="1"/>
  <c r="M86" i="8"/>
  <c r="L115" i="1"/>
  <c r="L118" i="1" s="1"/>
  <c r="L95" i="1" s="1"/>
  <c r="L151" i="1" s="1"/>
  <c r="H209" i="1"/>
  <c r="H211" i="1" s="1"/>
  <c r="H214" i="1" s="1"/>
  <c r="L153" i="1" l="1"/>
  <c r="O86" i="8"/>
  <c r="H175" i="1"/>
  <c r="H177" i="1" s="1"/>
  <c r="H219" i="1"/>
  <c r="H216" i="1" s="1" a="1"/>
  <c r="H216" i="1" s="1"/>
  <c r="H158" i="1" s="1"/>
  <c r="I212" i="1"/>
  <c r="I135" i="1" s="1"/>
  <c r="I138" i="1" s="1"/>
  <c r="I20" i="1" s="1"/>
  <c r="H160" i="1" l="1"/>
  <c r="H162" i="1" s="1"/>
  <c r="H179" i="1" s="1"/>
  <c r="H230" i="1"/>
  <c r="I140" i="1"/>
  <c r="I142" i="1" s="1"/>
  <c r="Q24" i="6" s="1"/>
  <c r="H235" i="1"/>
  <c r="L41" i="6" l="1"/>
  <c r="H48" i="6" a="1"/>
  <c r="I35" i="1"/>
  <c r="I206" i="1" s="1"/>
  <c r="I190" i="1"/>
  <c r="I195" i="1" s="1"/>
  <c r="I38" i="1"/>
  <c r="I207" i="1" s="1"/>
  <c r="I228" i="1"/>
  <c r="H48" i="6" l="1"/>
  <c r="J55" i="6"/>
  <c r="AG22" i="9" s="1"/>
  <c r="E61" i="9" s="1"/>
  <c r="M56" i="6"/>
  <c r="K49" i="6"/>
  <c r="I51" i="6"/>
  <c r="L52" i="6"/>
  <c r="AE23" i="9" s="1"/>
  <c r="D60" i="9" s="1"/>
  <c r="L54" i="6"/>
  <c r="L51" i="6"/>
  <c r="M51" i="6"/>
  <c r="I54" i="6"/>
  <c r="L53" i="6"/>
  <c r="K55" i="6"/>
  <c r="AF22" i="9" s="1"/>
  <c r="F61" i="9" s="1"/>
  <c r="J54" i="6"/>
  <c r="L49" i="6"/>
  <c r="J51" i="6"/>
  <c r="M52" i="6"/>
  <c r="AD23" i="9" s="1"/>
  <c r="AI23" i="9" s="1"/>
  <c r="M55" i="6"/>
  <c r="AD22" i="9" s="1"/>
  <c r="AI22" i="9" s="1"/>
  <c r="M54" i="6"/>
  <c r="K50" i="6"/>
  <c r="L55" i="6"/>
  <c r="AE22" i="9" s="1"/>
  <c r="D61" i="9" s="1"/>
  <c r="K54" i="6"/>
  <c r="M49" i="6"/>
  <c r="K51" i="6"/>
  <c r="I53" i="6"/>
  <c r="I50" i="6"/>
  <c r="J53" i="6"/>
  <c r="I56" i="6"/>
  <c r="K53" i="6"/>
  <c r="I52" i="6"/>
  <c r="AH23" i="9" s="1"/>
  <c r="K56" i="6"/>
  <c r="I49" i="6"/>
  <c r="L50" i="6"/>
  <c r="J52" i="6"/>
  <c r="AG23" i="9" s="1"/>
  <c r="E60" i="9" s="1"/>
  <c r="M53" i="6"/>
  <c r="I55" i="6"/>
  <c r="AH22" i="9" s="1"/>
  <c r="L56" i="6"/>
  <c r="J49" i="6"/>
  <c r="M50" i="6"/>
  <c r="K52" i="6"/>
  <c r="AF23" i="9" s="1"/>
  <c r="F60" i="9" s="1"/>
  <c r="J50" i="6"/>
  <c r="J56" i="6"/>
  <c r="I182" i="1"/>
  <c r="G61" i="9" l="1"/>
  <c r="H61" i="9"/>
  <c r="G60" i="9"/>
  <c r="H60" i="9"/>
  <c r="AK23" i="9"/>
  <c r="AM22" i="9"/>
  <c r="AJ23" i="9"/>
  <c r="AM23" i="9"/>
  <c r="AJ22" i="9"/>
  <c r="AK22" i="9"/>
  <c r="AL22" i="9"/>
  <c r="AL23" i="9"/>
  <c r="K48" i="6"/>
  <c r="L48" i="6"/>
  <c r="I48" i="6"/>
  <c r="M48" i="6"/>
  <c r="J48" i="6"/>
  <c r="I185" i="1"/>
  <c r="I209" i="1"/>
  <c r="I211" i="1" s="1"/>
  <c r="I214" i="1" s="1"/>
  <c r="I219" i="1" l="1"/>
  <c r="I216" i="1" s="1" a="1"/>
  <c r="I216" i="1" s="1"/>
  <c r="I158" i="1" s="1"/>
  <c r="I160" i="1" s="1"/>
  <c r="I162" i="1" s="1"/>
  <c r="J212" i="1"/>
  <c r="J135" i="1" s="1"/>
  <c r="J138" i="1" s="1"/>
  <c r="J20" i="1" s="1"/>
  <c r="J140" i="1" l="1"/>
  <c r="J142" i="1" s="1"/>
  <c r="I175" i="1"/>
  <c r="I177" i="1" s="1"/>
  <c r="I235" i="1"/>
  <c r="I230" i="1"/>
  <c r="I179" i="1"/>
  <c r="J228" i="1" l="1"/>
  <c r="J35" i="1"/>
  <c r="J206" i="1" s="1"/>
  <c r="J190" i="1"/>
  <c r="J195" i="1" s="1"/>
  <c r="J38" i="1"/>
  <c r="J207" i="1" s="1"/>
  <c r="J175" i="1" l="1"/>
  <c r="J177" i="1" s="1"/>
  <c r="J182" i="1"/>
  <c r="J209" i="1"/>
  <c r="J211" i="1" s="1"/>
  <c r="J214" i="1" s="1"/>
  <c r="K212" i="1" l="1"/>
  <c r="K135" i="1" s="1"/>
  <c r="K138" i="1" s="1"/>
  <c r="K20" i="1" s="1"/>
  <c r="J219" i="1"/>
  <c r="J216" i="1" s="1" a="1"/>
  <c r="J216" i="1" s="1"/>
  <c r="J158" i="1" s="1"/>
  <c r="J185" i="1"/>
  <c r="J235" i="1" l="1"/>
  <c r="J160" i="1"/>
  <c r="J162" i="1" s="1"/>
  <c r="J179" i="1" s="1"/>
  <c r="J230" i="1"/>
  <c r="K140" i="1"/>
  <c r="K142" i="1" s="1"/>
  <c r="K35" i="1" l="1"/>
  <c r="K206" i="1" s="1"/>
  <c r="K228" i="1"/>
  <c r="K38" i="1"/>
  <c r="K207" i="1" s="1"/>
  <c r="K190" i="1"/>
  <c r="K195" i="1" s="1"/>
  <c r="K175" i="1"/>
  <c r="K177" i="1" s="1"/>
  <c r="K182" i="1" l="1"/>
  <c r="K209" i="1"/>
  <c r="K211" i="1" s="1"/>
  <c r="K214" i="1" s="1"/>
  <c r="K185" i="1" l="1"/>
  <c r="K219" i="1"/>
  <c r="K216" i="1" s="1" a="1"/>
  <c r="K216" i="1" s="1"/>
  <c r="K158" i="1" s="1"/>
  <c r="L212" i="1"/>
  <c r="L135" i="1" s="1"/>
  <c r="L138" i="1" s="1"/>
  <c r="L20" i="1" s="1"/>
  <c r="L175" i="1"/>
  <c r="L177" i="1" s="1"/>
  <c r="K160" i="1" l="1"/>
  <c r="K162" i="1" s="1"/>
  <c r="K179" i="1" s="1"/>
  <c r="K230" i="1"/>
  <c r="L140" i="1"/>
  <c r="L142" i="1" s="1"/>
  <c r="K235" i="1"/>
  <c r="L228" i="1" l="1"/>
  <c r="L38" i="1"/>
  <c r="L207" i="1" s="1"/>
  <c r="L35" i="1"/>
  <c r="L206" i="1" s="1"/>
  <c r="L190" i="1"/>
  <c r="L195" i="1" s="1"/>
  <c r="L209" i="1" l="1"/>
  <c r="L211" i="1" s="1"/>
  <c r="L214" i="1" s="1"/>
  <c r="L219" i="1" s="1"/>
  <c r="L216" i="1" s="1" a="1"/>
  <c r="L216" i="1" s="1"/>
  <c r="L158" i="1" s="1"/>
  <c r="L182" i="1"/>
  <c r="L185" i="1" s="1"/>
  <c r="L235" i="1" l="1"/>
  <c r="L160" i="1"/>
  <c r="L162" i="1" s="1"/>
  <c r="L179" i="1" s="1"/>
  <c r="L230" i="1"/>
  <c r="E67" i="8" l="1"/>
  <c r="E228" i="8" s="1"/>
  <c r="F67" i="8"/>
  <c r="F228" i="8" s="1"/>
  <c r="G67" i="8"/>
  <c r="G228" i="8" s="1"/>
  <c r="F73" i="8" l="1"/>
  <c r="F77" i="8" s="1"/>
  <c r="F125" i="8" s="1"/>
  <c r="F132" i="8" s="1"/>
  <c r="F148" i="8" s="1"/>
  <c r="F150" i="8" s="1"/>
  <c r="F153" i="8" s="1"/>
  <c r="G245" i="8"/>
  <c r="G244" i="8"/>
  <c r="G251" i="8"/>
  <c r="F245" i="8"/>
  <c r="F244" i="8"/>
  <c r="F251" i="8"/>
  <c r="E251" i="8"/>
  <c r="E244" i="8"/>
  <c r="E245" i="8"/>
  <c r="G73" i="8"/>
  <c r="G77" i="8" s="1"/>
  <c r="G125" i="8" s="1"/>
  <c r="G132" i="8" s="1"/>
  <c r="G148" i="8" s="1"/>
  <c r="G150" i="8" s="1"/>
  <c r="G153" i="8" s="1"/>
  <c r="E73" i="8"/>
  <c r="E77" i="8" s="1"/>
  <c r="E125" i="8" s="1"/>
  <c r="E132" i="8" s="1"/>
  <c r="E148" i="8" s="1"/>
  <c r="E150" i="8" s="1"/>
  <c r="E153" i="8" s="1"/>
  <c r="E157" i="8" s="1"/>
  <c r="F152" i="8" s="1"/>
  <c r="F157" i="8" s="1"/>
  <c r="E21" i="8"/>
  <c r="E22" i="8" s="1"/>
  <c r="E24" i="8" l="1"/>
  <c r="E162" i="8"/>
  <c r="E159" i="8" s="1" a="1"/>
  <c r="E159" i="8" s="1"/>
  <c r="D39" i="8"/>
  <c r="D36" i="8"/>
  <c r="L37" i="8"/>
  <c r="L36" i="8"/>
  <c r="D37" i="8"/>
  <c r="E40" i="8"/>
  <c r="E25" i="8"/>
  <c r="H73" i="9" s="1"/>
  <c r="E41" i="8"/>
  <c r="D38" i="8"/>
  <c r="L38" i="8"/>
  <c r="F162" i="8"/>
  <c r="F159" i="8" s="1" a="1"/>
  <c r="F159" i="8" s="1"/>
  <c r="G152" i="8"/>
  <c r="G157" i="8" s="1"/>
  <c r="G162" i="8" s="1"/>
  <c r="G159" i="8" s="1" a="1"/>
  <c r="G159" i="8" s="1"/>
  <c r="J212" i="8" l="1"/>
  <c r="K39" i="8"/>
  <c r="J206" i="8"/>
  <c r="K203" i="8" s="1"/>
  <c r="I107" i="8"/>
  <c r="J107" i="8" s="1"/>
  <c r="J110" i="8" s="1"/>
  <c r="J112" i="8" s="1"/>
  <c r="J218" i="8"/>
  <c r="J224" i="8"/>
  <c r="K221" i="8" s="1"/>
  <c r="K71" i="8" l="1"/>
  <c r="K181" i="8"/>
  <c r="K184" i="8"/>
  <c r="K222" i="8"/>
  <c r="K131" i="8" s="1"/>
  <c r="K215" i="8"/>
  <c r="K216" i="8" s="1"/>
  <c r="H87" i="8"/>
  <c r="L39" i="8"/>
  <c r="L40" i="8" s="1"/>
  <c r="K40" i="8"/>
  <c r="D42" i="8" s="1"/>
  <c r="K209" i="8"/>
  <c r="K130" i="8" l="1"/>
  <c r="K236" i="8"/>
  <c r="L71" i="8"/>
  <c r="J87" i="8"/>
  <c r="J88" i="8" s="1"/>
  <c r="J97" i="8" s="1"/>
  <c r="J114" i="8" s="1"/>
  <c r="K87" i="8"/>
  <c r="K88" i="8" s="1"/>
  <c r="K182" i="8"/>
  <c r="K210" i="8"/>
  <c r="K190" i="8" s="1"/>
  <c r="K154" i="8" s="1"/>
  <c r="K183" i="8"/>
  <c r="K224" i="8"/>
  <c r="L221" i="8" s="1"/>
  <c r="D47" i="8"/>
  <c r="J283" i="8" s="1"/>
  <c r="J285" i="8" s="1"/>
  <c r="E42" i="8"/>
  <c r="E43" i="8" s="1"/>
  <c r="I117" i="8"/>
  <c r="J117" i="8" s="1"/>
  <c r="D43" i="8"/>
  <c r="F42" i="8" s="1"/>
  <c r="L130" i="8" l="1"/>
  <c r="L236" i="8"/>
  <c r="M71" i="8"/>
  <c r="N71" i="8" s="1"/>
  <c r="K185" i="8"/>
  <c r="J120" i="8"/>
  <c r="L87" i="8"/>
  <c r="L88" i="8" s="1"/>
  <c r="F40" i="8"/>
  <c r="F41" i="8"/>
  <c r="F38" i="8"/>
  <c r="F37" i="8"/>
  <c r="F39" i="8"/>
  <c r="F36" i="8"/>
  <c r="D48" i="8"/>
  <c r="E46" i="8" s="1"/>
  <c r="L184" i="8"/>
  <c r="L222" i="8"/>
  <c r="L131" i="8" s="1"/>
  <c r="N130" i="8" l="1"/>
  <c r="N236" i="8"/>
  <c r="K235" i="8"/>
  <c r="K70" i="8"/>
  <c r="K73" i="8" s="1"/>
  <c r="M130" i="8"/>
  <c r="M87" i="8" s="1"/>
  <c r="M88" i="8" s="1"/>
  <c r="M236" i="8"/>
  <c r="O71" i="8"/>
  <c r="E47" i="8"/>
  <c r="E48" i="8" s="1"/>
  <c r="F43" i="8"/>
  <c r="L224" i="8"/>
  <c r="M221" i="8" s="1"/>
  <c r="K75" i="8" l="1"/>
  <c r="K77" i="8" s="1"/>
  <c r="K125" i="8" s="1"/>
  <c r="K237" i="8"/>
  <c r="K244" i="8" s="1"/>
  <c r="K245" i="8"/>
  <c r="N87" i="8"/>
  <c r="N88" i="8" s="1"/>
  <c r="O130" i="8"/>
  <c r="O87" i="8" s="1"/>
  <c r="O88" i="8" s="1"/>
  <c r="O236" i="8"/>
  <c r="M222" i="8"/>
  <c r="M131" i="8" s="1"/>
  <c r="M184" i="8"/>
  <c r="M224" i="8" l="1"/>
  <c r="N221" i="8" s="1"/>
  <c r="K132" i="8"/>
  <c r="K148" i="8" s="1"/>
  <c r="K150" i="8" s="1"/>
  <c r="K153" i="8" s="1"/>
  <c r="K117" i="8"/>
  <c r="K120" i="8" s="1"/>
  <c r="N184" i="8"/>
  <c r="N222" i="8"/>
  <c r="N131" i="8" s="1"/>
  <c r="K189" i="8" l="1"/>
  <c r="K192" i="8" s="1"/>
  <c r="K205" i="8" s="1"/>
  <c r="N224" i="8"/>
  <c r="O221" i="8" s="1"/>
  <c r="O222" i="8"/>
  <c r="O131" i="8" s="1"/>
  <c r="O184" i="8"/>
  <c r="O224" i="8"/>
  <c r="K204" i="8" l="1"/>
  <c r="K193" i="8" s="1"/>
  <c r="K194" i="8" s="1"/>
  <c r="K206" i="8" l="1"/>
  <c r="K100" i="8" s="1"/>
  <c r="K104" i="8" s="1"/>
  <c r="K211" i="8"/>
  <c r="L203" i="8" l="1"/>
  <c r="L181" i="8" s="1"/>
  <c r="K195" i="8"/>
  <c r="K212" i="8"/>
  <c r="L209" i="8" l="1"/>
  <c r="K196" i="8"/>
  <c r="K217" i="8" l="1"/>
  <c r="L182" i="8"/>
  <c r="L210" i="8"/>
  <c r="K197" i="8" l="1"/>
  <c r="K218" i="8"/>
  <c r="K229" i="8" s="1"/>
  <c r="K230" i="8" l="1"/>
  <c r="H75" i="9" s="1"/>
  <c r="K239" i="8"/>
  <c r="L215" i="8"/>
  <c r="K107" i="8"/>
  <c r="K110" i="8" s="1"/>
  <c r="K112" i="8" s="1"/>
  <c r="K198" i="8"/>
  <c r="K231" i="8" l="1"/>
  <c r="K241" i="8" s="1"/>
  <c r="K240" i="8"/>
  <c r="H74" i="9" s="1"/>
  <c r="K223" i="8"/>
  <c r="K199" i="8" s="1"/>
  <c r="L183" i="8"/>
  <c r="L185" i="8" s="1"/>
  <c r="L216" i="8"/>
  <c r="L190" i="8" s="1"/>
  <c r="L154" i="8" s="1"/>
  <c r="L235" i="8" l="1"/>
  <c r="L70" i="8"/>
  <c r="K200" i="8"/>
  <c r="K155" i="8"/>
  <c r="K247" i="8" s="1"/>
  <c r="K248" i="8" s="1"/>
  <c r="L237" i="8" l="1"/>
  <c r="L244" i="8" s="1"/>
  <c r="L245" i="8"/>
  <c r="K156" i="8"/>
  <c r="K157" i="8" s="1"/>
  <c r="K201" i="8"/>
  <c r="K162" i="8" l="1"/>
  <c r="K159" i="8" s="1" a="1"/>
  <c r="K159" i="8" s="1"/>
  <c r="L152" i="8"/>
  <c r="K93" i="8" l="1"/>
  <c r="K95" i="8" s="1"/>
  <c r="K97" i="8" s="1"/>
  <c r="K114" i="8" s="1"/>
  <c r="K232" i="8"/>
  <c r="K242" i="8" s="1"/>
  <c r="L69" i="8"/>
  <c r="L73" i="8" s="1"/>
  <c r="L75" i="8" s="1"/>
  <c r="L188" i="8"/>
  <c r="L77" i="8" l="1"/>
  <c r="L125" i="8" s="1"/>
  <c r="L132" i="8" l="1"/>
  <c r="L148" i="8" s="1"/>
  <c r="L150" i="8" s="1"/>
  <c r="L117" i="8"/>
  <c r="L120" i="8" l="1"/>
  <c r="L153" i="8"/>
  <c r="L189" i="8"/>
  <c r="L192" i="8" s="1"/>
  <c r="L205" i="8" l="1"/>
  <c r="L204" i="8"/>
  <c r="L193" i="8" l="1"/>
  <c r="L206" i="8"/>
  <c r="L100" i="8" l="1"/>
  <c r="L104" i="8" s="1"/>
  <c r="M203" i="8"/>
  <c r="L194" i="8"/>
  <c r="L211" i="8" l="1"/>
  <c r="M181" i="8"/>
  <c r="L195" i="8" l="1"/>
  <c r="L212" i="8"/>
  <c r="M209" i="8" l="1"/>
  <c r="L196" i="8"/>
  <c r="L217" i="8" l="1"/>
  <c r="M182" i="8"/>
  <c r="M210" i="8"/>
  <c r="L197" i="8" l="1"/>
  <c r="L218" i="8"/>
  <c r="L229" i="8" s="1"/>
  <c r="L230" i="8" l="1"/>
  <c r="L239" i="8"/>
  <c r="M215" i="8"/>
  <c r="L107" i="8"/>
  <c r="L110" i="8" s="1"/>
  <c r="L112" i="8" s="1"/>
  <c r="L198" i="8"/>
  <c r="L231" i="8" l="1"/>
  <c r="L241" i="8" s="1"/>
  <c r="L240" i="8"/>
  <c r="L223" i="8"/>
  <c r="L199" i="8" s="1"/>
  <c r="M183" i="8"/>
  <c r="M185" i="8" s="1"/>
  <c r="M216" i="8"/>
  <c r="M190" i="8" s="1"/>
  <c r="M154" i="8" s="1"/>
  <c r="M70" i="8" l="1"/>
  <c r="M235" i="8"/>
  <c r="L200" i="8"/>
  <c r="L155" i="8"/>
  <c r="L247" i="8" s="1"/>
  <c r="L248" i="8" s="1"/>
  <c r="M237" i="8" l="1"/>
  <c r="M244" i="8" s="1"/>
  <c r="M245" i="8"/>
  <c r="L156" i="8"/>
  <c r="L157" i="8" s="1"/>
  <c r="L201" i="8"/>
  <c r="M152" i="8" l="1"/>
  <c r="L162" i="8"/>
  <c r="L159" i="8" s="1" a="1"/>
  <c r="L159" i="8" s="1"/>
  <c r="L93" i="8" l="1"/>
  <c r="L95" i="8" s="1"/>
  <c r="L97" i="8" s="1"/>
  <c r="L114" i="8" s="1"/>
  <c r="L232" i="8"/>
  <c r="L242" i="8" s="1"/>
  <c r="M69" i="8"/>
  <c r="M73" i="8" s="1"/>
  <c r="M75" i="8" s="1"/>
  <c r="M188" i="8"/>
  <c r="M77" i="8" l="1"/>
  <c r="M125" i="8" s="1"/>
  <c r="M132" i="8" l="1"/>
  <c r="M148" i="8" s="1"/>
  <c r="M150" i="8" s="1"/>
  <c r="M117" i="8"/>
  <c r="M120" i="8" l="1"/>
  <c r="M189" i="8"/>
  <c r="M192" i="8" s="1"/>
  <c r="M153" i="8"/>
  <c r="M204" i="8" l="1"/>
  <c r="M205" i="8"/>
  <c r="M193" i="8" l="1"/>
  <c r="M206" i="8"/>
  <c r="N203" i="8" l="1"/>
  <c r="M100" i="8"/>
  <c r="M104" i="8" s="1"/>
  <c r="M194" i="8"/>
  <c r="M211" i="8" l="1"/>
  <c r="N181" i="8"/>
  <c r="M195" i="8" l="1"/>
  <c r="M212" i="8"/>
  <c r="N209" i="8" l="1"/>
  <c r="M196" i="8"/>
  <c r="M217" i="8" l="1"/>
  <c r="N182" i="8"/>
  <c r="N210" i="8"/>
  <c r="M197" i="8" l="1"/>
  <c r="M218" i="8"/>
  <c r="M229" i="8" s="1"/>
  <c r="M230" i="8" l="1"/>
  <c r="M261" i="8" s="1"/>
  <c r="M239" i="8"/>
  <c r="N215" i="8"/>
  <c r="M107" i="8"/>
  <c r="M110" i="8" s="1"/>
  <c r="M112" i="8" s="1"/>
  <c r="M198" i="8"/>
  <c r="M231" i="8" l="1"/>
  <c r="M241" i="8" s="1"/>
  <c r="M240" i="8"/>
  <c r="M223" i="8"/>
  <c r="M199" i="8" s="1"/>
  <c r="N183" i="8"/>
  <c r="N185" i="8" s="1"/>
  <c r="N216" i="8"/>
  <c r="N190" i="8" s="1"/>
  <c r="N154" i="8" s="1"/>
  <c r="N70" i="8" l="1"/>
  <c r="N235" i="8"/>
  <c r="M200" i="8"/>
  <c r="M156" i="8" s="1"/>
  <c r="M155" i="8"/>
  <c r="M157" i="8" l="1"/>
  <c r="M162" i="8" s="1"/>
  <c r="M159" i="8" s="1" a="1"/>
  <c r="M159" i="8" s="1"/>
  <c r="M260" i="8" s="1"/>
  <c r="M266" i="8" s="1"/>
  <c r="M247" i="8"/>
  <c r="M248" i="8" s="1"/>
  <c r="N237" i="8"/>
  <c r="N244" i="8" s="1"/>
  <c r="N245" i="8"/>
  <c r="M201" i="8"/>
  <c r="N152" i="8"/>
  <c r="M269" i="8" l="1"/>
  <c r="M270" i="8"/>
  <c r="M93" i="8"/>
  <c r="M95" i="8" s="1"/>
  <c r="M97" i="8" s="1"/>
  <c r="M114" i="8" s="1"/>
  <c r="M232" i="8"/>
  <c r="M242" i="8" s="1"/>
  <c r="N188" i="8"/>
  <c r="N69" i="8"/>
  <c r="N73" i="8" s="1"/>
  <c r="N75" i="8" s="1"/>
  <c r="N77" i="8" l="1"/>
  <c r="N125" i="8" s="1"/>
  <c r="N132" i="8" l="1"/>
  <c r="N148" i="8" s="1"/>
  <c r="N150" i="8" s="1"/>
  <c r="N117" i="8"/>
  <c r="N120" i="8" l="1"/>
  <c r="N153" i="8"/>
  <c r="N189" i="8"/>
  <c r="N192" i="8" s="1"/>
  <c r="N204" i="8" l="1"/>
  <c r="N205" i="8"/>
  <c r="N193" i="8" l="1"/>
  <c r="N206" i="8"/>
  <c r="O203" i="8" l="1"/>
  <c r="N100" i="8"/>
  <c r="N104" i="8" s="1"/>
  <c r="N194" i="8"/>
  <c r="N211" i="8" l="1"/>
  <c r="O181" i="8"/>
  <c r="N195" i="8" l="1"/>
  <c r="N212" i="8"/>
  <c r="O209" i="8" l="1"/>
  <c r="N196" i="8"/>
  <c r="N217" i="8" l="1"/>
  <c r="O182" i="8"/>
  <c r="O210" i="8"/>
  <c r="N197" i="8" l="1"/>
  <c r="N218" i="8"/>
  <c r="N229" i="8" s="1"/>
  <c r="N230" i="8" l="1"/>
  <c r="N261" i="8" s="1"/>
  <c r="N239" i="8"/>
  <c r="O215" i="8"/>
  <c r="N107" i="8"/>
  <c r="N110" i="8" s="1"/>
  <c r="N112" i="8" s="1"/>
  <c r="N198" i="8"/>
  <c r="N231" i="8" l="1"/>
  <c r="N241" i="8" s="1"/>
  <c r="N240" i="8"/>
  <c r="N223" i="8"/>
  <c r="N199" i="8" s="1"/>
  <c r="O183" i="8"/>
  <c r="O185" i="8" s="1"/>
  <c r="O216" i="8"/>
  <c r="O190" i="8" s="1"/>
  <c r="O154" i="8" s="1"/>
  <c r="O70" i="8" l="1"/>
  <c r="O235" i="8"/>
  <c r="N200" i="8"/>
  <c r="N155" i="8"/>
  <c r="N247" i="8" s="1"/>
  <c r="N248" i="8" s="1"/>
  <c r="O237" i="8" l="1"/>
  <c r="O244" i="8" s="1"/>
  <c r="O245" i="8"/>
  <c r="N156" i="8"/>
  <c r="N157" i="8" s="1"/>
  <c r="N201" i="8"/>
  <c r="O152" i="8" l="1"/>
  <c r="N162" i="8"/>
  <c r="N159" i="8" s="1" a="1"/>
  <c r="N159" i="8" s="1"/>
  <c r="N260" i="8" s="1"/>
  <c r="N266" i="8" s="1"/>
  <c r="N270" i="8" l="1"/>
  <c r="N269" i="8"/>
  <c r="N93" i="8"/>
  <c r="N95" i="8" s="1"/>
  <c r="N97" i="8" s="1"/>
  <c r="N114" i="8" s="1"/>
  <c r="N232" i="8"/>
  <c r="N242" i="8" s="1"/>
  <c r="O69" i="8"/>
  <c r="O73" i="8" s="1"/>
  <c r="O75" i="8" s="1"/>
  <c r="O188" i="8"/>
  <c r="O77" i="8" l="1"/>
  <c r="O125" i="8" s="1"/>
  <c r="O132" i="8" l="1"/>
  <c r="O148" i="8" s="1"/>
  <c r="O150" i="8" s="1"/>
  <c r="O117" i="8"/>
  <c r="O120" i="8" s="1"/>
  <c r="O189" i="8" l="1"/>
  <c r="O192" i="8" s="1"/>
  <c r="O153" i="8"/>
  <c r="O204" i="8" l="1"/>
  <c r="O205" i="8"/>
  <c r="O193" i="8" l="1"/>
  <c r="O206" i="8"/>
  <c r="O100" i="8" s="1"/>
  <c r="O104" i="8" s="1"/>
  <c r="O194" i="8" l="1"/>
  <c r="O211" i="8" l="1"/>
  <c r="O195" i="8" l="1"/>
  <c r="O212" i="8"/>
  <c r="O196" i="8" l="1"/>
  <c r="O217" i="8" l="1"/>
  <c r="O197" i="8" l="1"/>
  <c r="O218" i="8"/>
  <c r="O107" i="8" l="1"/>
  <c r="O110" i="8" s="1"/>
  <c r="O112" i="8" s="1"/>
  <c r="O229" i="8"/>
  <c r="O198" i="8"/>
  <c r="O230" i="8" l="1"/>
  <c r="O261" i="8" s="1"/>
  <c r="O239" i="8"/>
  <c r="O223" i="8"/>
  <c r="O199" i="8" s="1"/>
  <c r="O231" i="8" l="1"/>
  <c r="O241" i="8" s="1"/>
  <c r="O240" i="8"/>
  <c r="O200" i="8"/>
  <c r="O156" i="8" s="1"/>
  <c r="O155" i="8"/>
  <c r="O247" i="8" s="1"/>
  <c r="O248" i="8" s="1"/>
  <c r="O201" i="8"/>
  <c r="O157" i="8" l="1"/>
  <c r="O162" i="8" s="1"/>
  <c r="O159" i="8" s="1" a="1"/>
  <c r="O159" i="8" s="1"/>
  <c r="O260" i="8" s="1"/>
  <c r="O266" i="8" s="1"/>
  <c r="O284" i="8" l="1"/>
  <c r="O285" i="8" s="1"/>
  <c r="O275" i="8"/>
  <c r="O276" i="8" s="1"/>
  <c r="O270" i="8"/>
  <c r="D305" i="8" s="1"/>
  <c r="O269" i="8"/>
  <c r="O93" i="8"/>
  <c r="O95" i="8" s="1"/>
  <c r="O97" i="8" s="1"/>
  <c r="O114" i="8" s="1"/>
  <c r="O232" i="8"/>
  <c r="O242" i="8" s="1"/>
  <c r="D298" i="8" l="1"/>
  <c r="D292" i="8"/>
  <c r="J279" i="8"/>
  <c r="J278" i="8"/>
  <c r="J288" i="8"/>
  <c r="J287" i="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18751FC-B9F6-FB44-BCB9-1F5E9779A7BC}" keepAlive="1" name="Query - compass_balance_sheet_3yr" description="Connection to the 'compass_balance_sheet_3yr' query in the workbook." type="5" refreshedVersion="8" background="1" saveData="1">
    <dbPr connection="Provider=Microsoft.Mashup.OleDb.1;Data Source=$Workbook$;Location=compass_balance_sheet_3yr;Extended Properties=&quot;&quot;" command="SELECT * FROM [compass_balance_sheet_3yr]"/>
  </connection>
  <connection id="2" xr16:uid="{E57FDEC6-53E4-844D-8D1B-BBB5EAD9C55E}" keepAlive="1" name="Query - compass_balance_sheet_3yr (2)" description="Connection to the 'compass_balance_sheet_3yr (2)' query in the workbook." type="5" refreshedVersion="8" background="1" saveData="1">
    <dbPr connection="Provider=Microsoft.Mashup.OleDb.1;Data Source=$Workbook$;Location=&quot;compass_balance_sheet_3yr (2)&quot;;Extended Properties=&quot;&quot;" command="SELECT * FROM [compass_balance_sheet_3yr (2)]"/>
  </connection>
  <connection id="3" xr16:uid="{EEAC6C77-5FAA-D146-8DCE-D5F054F2C12A}" keepAlive="1" name="Query - compass_cash_flow_3yr" description="Connection to the 'compass_cash_flow_3yr' query in the workbook." type="5" refreshedVersion="0" background="1">
    <dbPr connection="Provider=Microsoft.Mashup.OleDb.1;Data Source=$Workbook$;Location=compass_cash_flow_3yr;Extended Properties=&quot;&quot;" command="SELECT * FROM [compass_cash_flow_3yr]"/>
  </connection>
  <connection id="4" xr16:uid="{FF32DA89-41BE-1C46-BBFE-74A8EDBB2738}" keepAlive="1" name="Query - compass_cash_flow_3yr (2)" description="Connection to the 'compass_cash_flow_3yr (2)' query in the workbook." type="5" refreshedVersion="8" background="1" saveData="1">
    <dbPr connection="Provider=Microsoft.Mashup.OleDb.1;Data Source=$Workbook$;Location=&quot;compass_cash_flow_3yr (2)&quot;;Extended Properties=&quot;&quot;" command="SELECT * FROM [compass_cash_flow_3yr (2)]"/>
  </connection>
  <connection id="5" xr16:uid="{D46549DE-6CC4-2845-908C-316EE6B5369B}" keepAlive="1" name="Query - compass_income_statement_3yr" description="Connection to the 'compass_income_statement_3yr' query in the workbook." type="5" refreshedVersion="8" background="1" saveData="1">
    <dbPr connection="Provider=Microsoft.Mashup.OleDb.1;Data Source=$Workbook$;Location=compass_income_statement_3yr;Extended Properties=&quot;&quot;" command="SELECT * FROM [compass_income_statement_3yr]"/>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<sst xmlns="http://schemas.openxmlformats.org/spreadsheetml/2006/main" count="1890" uniqueCount="1078">
  <si>
    <t>Financial Statement Drivers:</t>
  </si>
  <si>
    <t>Company Name:</t>
  </si>
  <si>
    <t>Last Historical Year:</t>
  </si>
  <si>
    <t>Units:</t>
  </si>
  <si>
    <t>Historical:</t>
  </si>
  <si>
    <t>Projected:</t>
  </si>
  <si>
    <t>Income Statement:</t>
  </si>
  <si>
    <t>Balance Sheet:</t>
  </si>
  <si>
    <t>Cash Flow Statement:</t>
  </si>
  <si>
    <t>Revenue:</t>
  </si>
  <si>
    <t>Operating Income (EBIT):</t>
  </si>
  <si>
    <t>(+) Interest Income:</t>
  </si>
  <si>
    <t>(-) Interest Expense:</t>
  </si>
  <si>
    <t>Pre-Tax Income:</t>
  </si>
  <si>
    <t>(+/-) Net (Loss)/Gain on Sales and Closure of Businesses:</t>
  </si>
  <si>
    <t>Net Income:</t>
  </si>
  <si>
    <t>(-) Income Tax Expense:</t>
  </si>
  <si>
    <t>(-) Direct Costs:</t>
  </si>
  <si>
    <t>(-) SG&amp;A:</t>
  </si>
  <si>
    <t>(+) Share of Results of Joint Ventures and Associates:</t>
  </si>
  <si>
    <t>Current Assets:</t>
  </si>
  <si>
    <t>Total Current Assets:</t>
  </si>
  <si>
    <t>Total Non-Current Assets:</t>
  </si>
  <si>
    <t>Total Assets:</t>
  </si>
  <si>
    <t>Inventory:</t>
  </si>
  <si>
    <t>Cash:</t>
  </si>
  <si>
    <t>Other Current Assets:</t>
  </si>
  <si>
    <t>Other Non-Current Assets:</t>
  </si>
  <si>
    <t>EQUITY:</t>
  </si>
  <si>
    <t>NET ASSETS:</t>
  </si>
  <si>
    <t>Current Liabilities:</t>
  </si>
  <si>
    <t>Non-Current Assets:</t>
  </si>
  <si>
    <t>Short-Term Borrowings:</t>
  </si>
  <si>
    <t>Other Current Liabilities:</t>
  </si>
  <si>
    <t xml:space="preserve">Total Current Liabilities </t>
  </si>
  <si>
    <t>Trade and Other Receivables:</t>
  </si>
  <si>
    <t>Trade and Other Payables:</t>
  </si>
  <si>
    <t>Non-Current Liabilities</t>
  </si>
  <si>
    <t>Long-Term Borrowings:</t>
  </si>
  <si>
    <t>Total Non-Current Liabilities</t>
  </si>
  <si>
    <t>Total Liabilities:</t>
  </si>
  <si>
    <t>Net Assets:</t>
  </si>
  <si>
    <t>Non-Controlling Interest:</t>
  </si>
  <si>
    <t>Total Equity:</t>
  </si>
  <si>
    <t>Compass Group</t>
  </si>
  <si>
    <t>$M</t>
  </si>
  <si>
    <t>CASH FLOWS FROM OPERATING ACTIVITIES:</t>
  </si>
  <si>
    <t/>
  </si>
  <si>
    <t>(-) Depreciation and Amortisation:</t>
  </si>
  <si>
    <t>Cash and Cash Equivalents:</t>
  </si>
  <si>
    <t>(+) Depreciation and Amortisation:</t>
  </si>
  <si>
    <t>(+/-) Change in Working Capital:</t>
  </si>
  <si>
    <t>CASH FLOWS FROM INVESTING ACTIVITIES:</t>
  </si>
  <si>
    <t>(-) Net CapEx</t>
  </si>
  <si>
    <t>(-) M&amp;A and Investments:</t>
  </si>
  <si>
    <t>(-) Net CapEx:</t>
  </si>
  <si>
    <t>Net Cash Flow from Operating Activities:</t>
  </si>
  <si>
    <t>CASH FLOWS FROM FINANCING ACTIVITIES:</t>
  </si>
  <si>
    <t>(+/-) Debt Issuances / Repayments:</t>
  </si>
  <si>
    <t>(-) Lease Principal Repayments:</t>
  </si>
  <si>
    <t>(-) Dividends:</t>
  </si>
  <si>
    <t>(-) Stock Repurchases:</t>
  </si>
  <si>
    <t>(+/-) Other Investing Cash Flows:</t>
  </si>
  <si>
    <t>(+/-) Other Non-Cash Adjustments:</t>
  </si>
  <si>
    <t>(+/-) Other Financing Activities:</t>
  </si>
  <si>
    <t>Currency Translation Gains on Cash and Cash Equivalents:</t>
  </si>
  <si>
    <t>Net Cash Flow from Financing Activities:</t>
  </si>
  <si>
    <t>Net Cash Flow from Investing Activities:</t>
  </si>
  <si>
    <t>Cash and Cash Equivalents at 30 September:</t>
  </si>
  <si>
    <t>Cash and Cash Equivalents at 1 October:</t>
  </si>
  <si>
    <t>Net Change in Cash and Cash Equivalents:</t>
  </si>
  <si>
    <t>$</t>
  </si>
  <si>
    <t>Goodwill</t>
  </si>
  <si>
    <t>Other Intangibles:</t>
  </si>
  <si>
    <t>Goodwill:</t>
  </si>
  <si>
    <t>Cash Classified as Held for Sales:</t>
  </si>
  <si>
    <t>Bank Overdrafts:</t>
  </si>
  <si>
    <t>Cash and Cash Equivalents as per Balance Sheet:</t>
  </si>
  <si>
    <t>Other Long-Term Liabilities:</t>
  </si>
  <si>
    <t>Lease Liabilities:</t>
  </si>
  <si>
    <t>Lease Liabilities</t>
  </si>
  <si>
    <t>Column1</t>
  </si>
  <si>
    <t>Column2</t>
  </si>
  <si>
    <t>Column3</t>
  </si>
  <si>
    <t>Column4</t>
  </si>
  <si>
    <t>2025-09-30</t>
  </si>
  <si>
    <t>2024-09-30</t>
  </si>
  <si>
    <t>2023-09-30</t>
  </si>
  <si>
    <t>Tax Effect Of Unusual Items</t>
  </si>
  <si>
    <t>-117151702.786378</t>
  </si>
  <si>
    <t>-214520428.015564</t>
  </si>
  <si>
    <t>-85362000.0</t>
  </si>
  <si>
    <t>Tax Rate For Calcs</t>
  </si>
  <si>
    <t>0.272446</t>
  </si>
  <si>
    <t>0.312257</t>
  </si>
  <si>
    <t>0.246</t>
  </si>
  <si>
    <t>Normalized EBITDA</t>
  </si>
  <si>
    <t>4582000000.0</t>
  </si>
  <si>
    <t>4098000000.0</t>
  </si>
  <si>
    <t>3657000000.0</t>
  </si>
  <si>
    <t>Total Unusual Items</t>
  </si>
  <si>
    <t>-430000000.0</t>
  </si>
  <si>
    <t>-687000000.0</t>
  </si>
  <si>
    <t>-347000000.0</t>
  </si>
  <si>
    <t>Total Unusual Items Excluding Goodwill</t>
  </si>
  <si>
    <t>Net Income From Continuing Operation Net Minority Interest</t>
  </si>
  <si>
    <t>1868000000.0</t>
  </si>
  <si>
    <t>1404000000.0</t>
  </si>
  <si>
    <t>1607000000.0</t>
  </si>
  <si>
    <t>Reconciled Depreciation</t>
  </si>
  <si>
    <t>852000000.0</t>
  </si>
  <si>
    <t>744000000.0</t>
  </si>
  <si>
    <t>670000000.0</t>
  </si>
  <si>
    <t>Reconciled Cost Of Revenue</t>
  </si>
  <si>
    <t>30677000000.0</t>
  </si>
  <si>
    <t>28076000000.0</t>
  </si>
  <si>
    <t>25567000000.0</t>
  </si>
  <si>
    <t>EBITDA</t>
  </si>
  <si>
    <t>4152000000.0</t>
  </si>
  <si>
    <t>3411000000.0</t>
  </si>
  <si>
    <t>3310000000.0</t>
  </si>
  <si>
    <t>EBIT</t>
  </si>
  <si>
    <t>2962000000.0</t>
  </si>
  <si>
    <t>2361000000.0</t>
  </si>
  <si>
    <t>2358000000.0</t>
  </si>
  <si>
    <t>Net Interest Income</t>
  </si>
  <si>
    <t>-356000000.0</t>
  </si>
  <si>
    <t>-277000000.0</t>
  </si>
  <si>
    <t>-175000000.0</t>
  </si>
  <si>
    <t>Interest Expense</t>
  </si>
  <si>
    <t>378000000.0</t>
  </si>
  <si>
    <t>305000000.0</t>
  </si>
  <si>
    <t>221000000.0</t>
  </si>
  <si>
    <t>Interest Income</t>
  </si>
  <si>
    <t>29000000.0</t>
  </si>
  <si>
    <t>30000000.0</t>
  </si>
  <si>
    <t>53000000.0</t>
  </si>
  <si>
    <t>Normalized Income</t>
  </si>
  <si>
    <t>2180848297.213622</t>
  </si>
  <si>
    <t>1876479571.984436</t>
  </si>
  <si>
    <t>1868638000.0</t>
  </si>
  <si>
    <t>Net Income From Continuing And Discontinued Operation</t>
  </si>
  <si>
    <t>Total Expenses</t>
  </si>
  <si>
    <t>42775000000.0</t>
  </si>
  <si>
    <t>39054000000.0</t>
  </si>
  <si>
    <t>35339000000.0</t>
  </si>
  <si>
    <t>Rent Expense Supplemental</t>
  </si>
  <si>
    <t>192000000.0</t>
  </si>
  <si>
    <t>182000000.0</t>
  </si>
  <si>
    <t>Total Operating Income As Reported</t>
  </si>
  <si>
    <t>2964000000.0</t>
  </si>
  <si>
    <t>2584000000.0</t>
  </si>
  <si>
    <t>2245000000.0</t>
  </si>
  <si>
    <t>Diluted Average Shares</t>
  </si>
  <si>
    <t>1699000000.0</t>
  </si>
  <si>
    <t>1707000000.0</t>
  </si>
  <si>
    <t>1745000000.0</t>
  </si>
  <si>
    <t>Basic Average Shares</t>
  </si>
  <si>
    <t>1697000000.0</t>
  </si>
  <si>
    <t>1705000000.0</t>
  </si>
  <si>
    <t>1743000000.0</t>
  </si>
  <si>
    <t>Diluted EPS</t>
  </si>
  <si>
    <t>1.099</t>
  </si>
  <si>
    <t>0.822</t>
  </si>
  <si>
    <t>0.91873</t>
  </si>
  <si>
    <t>Basic EPS</t>
  </si>
  <si>
    <t>1.101</t>
  </si>
  <si>
    <t>0.823</t>
  </si>
  <si>
    <t>0.91995</t>
  </si>
  <si>
    <t>Diluted NI Availto Com Stockholders</t>
  </si>
  <si>
    <t>Net Income Common Stockholders</t>
  </si>
  <si>
    <t>Otherunder Preferred Stock Dividend</t>
  </si>
  <si>
    <t>0.0</t>
  </si>
  <si>
    <t>Net Income</t>
  </si>
  <si>
    <t>Minority Interests</t>
  </si>
  <si>
    <t>-12000000.0</t>
  </si>
  <si>
    <t>-10000000.0</t>
  </si>
  <si>
    <t>-5000000.0</t>
  </si>
  <si>
    <t>Net Income Including Noncontrolling Interests</t>
  </si>
  <si>
    <t>1880000000.0</t>
  </si>
  <si>
    <t>1414000000.0</t>
  </si>
  <si>
    <t>1612000000.0</t>
  </si>
  <si>
    <t>Net Income Continuous Operations</t>
  </si>
  <si>
    <t>Tax Provision</t>
  </si>
  <si>
    <t>704000000.0</t>
  </si>
  <si>
    <t>642000000.0</t>
  </si>
  <si>
    <t>525000000.0</t>
  </si>
  <si>
    <t>Pretax Income</t>
  </si>
  <si>
    <t>2056000000.0</t>
  </si>
  <si>
    <t>2137000000.0</t>
  </si>
  <si>
    <t>Special Income Charges</t>
  </si>
  <si>
    <t>-410000000.0</t>
  </si>
  <si>
    <t>-620000000.0</t>
  </si>
  <si>
    <t>-299000000.0</t>
  </si>
  <si>
    <t>Other Special Charges</t>
  </si>
  <si>
    <t>31000000.0</t>
  </si>
  <si>
    <t>203000000.0</t>
  </si>
  <si>
    <t>-24000000.0</t>
  </si>
  <si>
    <t>Write Off</t>
  </si>
  <si>
    <t>8000000.0</t>
  </si>
  <si>
    <t>3000000.0</t>
  </si>
  <si>
    <t>77000000.0</t>
  </si>
  <si>
    <t>Impairment Of Capital Assets</t>
  </si>
  <si>
    <t>146000000.0</t>
  </si>
  <si>
    <t>60000000.0</t>
  </si>
  <si>
    <t>Restructuring And Mergern Acquisition</t>
  </si>
  <si>
    <t>371000000.0</t>
  </si>
  <si>
    <t>414000000.0</t>
  </si>
  <si>
    <t>186000000.0</t>
  </si>
  <si>
    <t>Net Non Operating Interest Income Expense</t>
  </si>
  <si>
    <t>Total Other Finance Cost</t>
  </si>
  <si>
    <t>7000000.0</t>
  </si>
  <si>
    <t>2000000.0</t>
  </si>
  <si>
    <t>Interest Expense Non Operating</t>
  </si>
  <si>
    <t>Interest Income Non Operating</t>
  </si>
  <si>
    <t>Operating Income</t>
  </si>
  <si>
    <t>3295000000.0</t>
  </si>
  <si>
    <t>2948000000.0</t>
  </si>
  <si>
    <t>2568000000.0</t>
  </si>
  <si>
    <t>Operating Expense</t>
  </si>
  <si>
    <t>12098000000.0</t>
  </si>
  <si>
    <t>10978000000.0</t>
  </si>
  <si>
    <t>9772000000.0</t>
  </si>
  <si>
    <t>Other Operating Expenses</t>
  </si>
  <si>
    <t>7364000000.0</t>
  </si>
  <si>
    <t>6924000000.0</t>
  </si>
  <si>
    <t>6001000000.0</t>
  </si>
  <si>
    <t>Depreciation And Amortization In Income Statement</t>
  </si>
  <si>
    <t>1190000000.0</t>
  </si>
  <si>
    <t>1050000000.0</t>
  </si>
  <si>
    <t>952000000.0</t>
  </si>
  <si>
    <t>Amortization</t>
  </si>
  <si>
    <t>521000000.0</t>
  </si>
  <si>
    <t>456000000.0</t>
  </si>
  <si>
    <t>416000000.0</t>
  </si>
  <si>
    <t>Depreciation Income Statement</t>
  </si>
  <si>
    <t>669000000.0</t>
  </si>
  <si>
    <t>594000000.0</t>
  </si>
  <si>
    <t>536000000.0</t>
  </si>
  <si>
    <t>Selling General And Administration</t>
  </si>
  <si>
    <t>11000000.0</t>
  </si>
  <si>
    <t>10000000.0</t>
  </si>
  <si>
    <t>General And Administrative Expense</t>
  </si>
  <si>
    <t>Rent And Landing Fees</t>
  </si>
  <si>
    <t>Gross Profit</t>
  </si>
  <si>
    <t>15393000000.0</t>
  </si>
  <si>
    <t>13926000000.0</t>
  </si>
  <si>
    <t>12340000000.0</t>
  </si>
  <si>
    <t>Cost Of Revenue</t>
  </si>
  <si>
    <t>Total Revenue</t>
  </si>
  <si>
    <t>46070000000.0</t>
  </si>
  <si>
    <t>42002000000.0</t>
  </si>
  <si>
    <t>37907000000.0</t>
  </si>
  <si>
    <t>Operating Revenue</t>
  </si>
  <si>
    <t>Treasury Shares Number</t>
  </si>
  <si>
    <t>88102999.0</t>
  </si>
  <si>
    <t>88290717.0</t>
  </si>
  <si>
    <t>70744082.0</t>
  </si>
  <si>
    <t>Ordinary Shares Number</t>
  </si>
  <si>
    <t>1697300978.0</t>
  </si>
  <si>
    <t>1697113260.0</t>
  </si>
  <si>
    <t>1714659895.0</t>
  </si>
  <si>
    <t>Share Issued</t>
  </si>
  <si>
    <t>1785403977.0</t>
  </si>
  <si>
    <t>Net Debt</t>
  </si>
  <si>
    <t>4851000000.0</t>
  </si>
  <si>
    <t>3973000000.0</t>
  </si>
  <si>
    <t>3085000000.0</t>
  </si>
  <si>
    <t>Total Debt</t>
  </si>
  <si>
    <t>6992000000.0</t>
  </si>
  <si>
    <t>5911000000.0</t>
  </si>
  <si>
    <t>5267000000.0</t>
  </si>
  <si>
    <t>Tangible Book Value</t>
  </si>
  <si>
    <t>-4033000000.0</t>
  </si>
  <si>
    <t>-3395000000.0</t>
  </si>
  <si>
    <t>-2322000000.0</t>
  </si>
  <si>
    <t>Invested Capital</t>
  </si>
  <si>
    <t>13079000000.0</t>
  </si>
  <si>
    <t>11425000000.0</t>
  </si>
  <si>
    <t>10377000000.0</t>
  </si>
  <si>
    <t>Working Capital</t>
  </si>
  <si>
    <t>-2872000000.0</t>
  </si>
  <si>
    <t>-2579000000.0</t>
  </si>
  <si>
    <t>-2369000000.0</t>
  </si>
  <si>
    <t>Net Tangible Assets</t>
  </si>
  <si>
    <t>Capital Lease Obligations</t>
  </si>
  <si>
    <t>1566000000.0</t>
  </si>
  <si>
    <t>1315000000.0</t>
  </si>
  <si>
    <t>1153000000.0</t>
  </si>
  <si>
    <t>Common Stock Equity</t>
  </si>
  <si>
    <t>7653000000.0</t>
  </si>
  <si>
    <t>6829000000.0</t>
  </si>
  <si>
    <t>6263000000.0</t>
  </si>
  <si>
    <t>Total Capitalization</t>
  </si>
  <si>
    <t>12036000000.0</t>
  </si>
  <si>
    <t>10603000000.0</t>
  </si>
  <si>
    <t>9050000000.0</t>
  </si>
  <si>
    <t>Total Equity Gross Minority Interest</t>
  </si>
  <si>
    <t>7760000000.0</t>
  </si>
  <si>
    <t>6906000000.0</t>
  </si>
  <si>
    <t>6300000000.0</t>
  </si>
  <si>
    <t>Minority Interest</t>
  </si>
  <si>
    <t>107000000.0</t>
  </si>
  <si>
    <t>37000000.0</t>
  </si>
  <si>
    <t>Stockholders Equity</t>
  </si>
  <si>
    <t>Other Equity Interest</t>
  </si>
  <si>
    <t>Fixed Assets Revaluation Reserve</t>
  </si>
  <si>
    <t>14000000.0</t>
  </si>
  <si>
    <t>Treasury Stock</t>
  </si>
  <si>
    <t>2220000000.0</t>
  </si>
  <si>
    <t>2296000000.0</t>
  </si>
  <si>
    <t>1848000000.0</t>
  </si>
  <si>
    <t>Retained Earnings</t>
  </si>
  <si>
    <t>2302000000.0</t>
  </si>
  <si>
    <t>1574000000.0</t>
  </si>
  <si>
    <t>1018000000.0</t>
  </si>
  <si>
    <t>Additional Paid In Capital</t>
  </si>
  <si>
    <t>828000000.0</t>
  </si>
  <si>
    <t>Capital Stock</t>
  </si>
  <si>
    <t>346000000.0</t>
  </si>
  <si>
    <t>Common Stock</t>
  </si>
  <si>
    <t>Total Liabilities Net Minority Interest</t>
  </si>
  <si>
    <t>18955000000.0</t>
  </si>
  <si>
    <t>17443000000.0</t>
  </si>
  <si>
    <t>15183000000.0</t>
  </si>
  <si>
    <t>Total Non Current Liabilities Net Minority Interest</t>
  </si>
  <si>
    <t>8290000000.0</t>
  </si>
  <si>
    <t>7371000000.0</t>
  </si>
  <si>
    <t>5863000000.0</t>
  </si>
  <si>
    <t>Other Non Current Liabilities</t>
  </si>
  <si>
    <t>Derivative Product Liabilities</t>
  </si>
  <si>
    <t>208000000.0</t>
  </si>
  <si>
    <t>252000000.0</t>
  </si>
  <si>
    <t>253000000.0</t>
  </si>
  <si>
    <t>Non Current Pension And Other Postretirement Benefit Plans</t>
  </si>
  <si>
    <t>1395000000.0</t>
  </si>
  <si>
    <t>1274000000.0</t>
  </si>
  <si>
    <t>983000000.0</t>
  </si>
  <si>
    <t>Non Current Accrued Expenses</t>
  </si>
  <si>
    <t>4000000.0</t>
  </si>
  <si>
    <t>9000000.0</t>
  </si>
  <si>
    <t>Tradeand Other Payables Non Current</t>
  </si>
  <si>
    <t>189000000.0</t>
  </si>
  <si>
    <t>175000000.0</t>
  </si>
  <si>
    <t>443000000.0</t>
  </si>
  <si>
    <t>Non Current Deferred Revenue</t>
  </si>
  <si>
    <t>214000000.0</t>
  </si>
  <si>
    <t>Non Current Deferred Taxes Liabilities</t>
  </si>
  <si>
    <t>276000000.0</t>
  </si>
  <si>
    <t>287000000.0</t>
  </si>
  <si>
    <t>132000000.0</t>
  </si>
  <si>
    <t>Long Term Debt And Capital Lease Obligation</t>
  </si>
  <si>
    <t>5611000000.0</t>
  </si>
  <si>
    <t>4816000000.0</t>
  </si>
  <si>
    <t>3703000000.0</t>
  </si>
  <si>
    <t>Long Term Capital Lease Obligation</t>
  </si>
  <si>
    <t>1228000000.0</t>
  </si>
  <si>
    <t>1042000000.0</t>
  </si>
  <si>
    <t>916000000.0</t>
  </si>
  <si>
    <t>Long Term Debt</t>
  </si>
  <si>
    <t>4383000000.0</t>
  </si>
  <si>
    <t>3774000000.0</t>
  </si>
  <si>
    <t>2787000000.0</t>
  </si>
  <si>
    <t>Long Term Provisions</t>
  </si>
  <si>
    <t>355000000.0</t>
  </si>
  <si>
    <t>344000000.0</t>
  </si>
  <si>
    <t>349000000.0</t>
  </si>
  <si>
    <t>Current Liabilities</t>
  </si>
  <si>
    <t>10665000000.0</t>
  </si>
  <si>
    <t>10072000000.0</t>
  </si>
  <si>
    <t>9320000000.0</t>
  </si>
  <si>
    <t>Other Current Liabilities</t>
  </si>
  <si>
    <t>Current Debt And Capital Lease Obligation</t>
  </si>
  <si>
    <t>1381000000.0</t>
  </si>
  <si>
    <t>1095000000.0</t>
  </si>
  <si>
    <t>1564000000.0</t>
  </si>
  <si>
    <t>Current Capital Lease Obligation</t>
  </si>
  <si>
    <t>338000000.0</t>
  </si>
  <si>
    <t>273000000.0</t>
  </si>
  <si>
    <t>237000000.0</t>
  </si>
  <si>
    <t>Current Debt</t>
  </si>
  <si>
    <t>1043000000.0</t>
  </si>
  <si>
    <t>822000000.0</t>
  </si>
  <si>
    <t>1327000000.0</t>
  </si>
  <si>
    <t>Current Provisions</t>
  </si>
  <si>
    <t>388000000.0</t>
  </si>
  <si>
    <t>370000000.0</t>
  </si>
  <si>
    <t>284000000.0</t>
  </si>
  <si>
    <t>Payables</t>
  </si>
  <si>
    <t>5322000000.0</t>
  </si>
  <si>
    <t>4952000000.0</t>
  </si>
  <si>
    <t>4616000000.0</t>
  </si>
  <si>
    <t>Other Payable</t>
  </si>
  <si>
    <t>579000000.0</t>
  </si>
  <si>
    <t>831000000.0</t>
  </si>
  <si>
    <t>796000000.0</t>
  </si>
  <si>
    <t>Total Tax Payable</t>
  </si>
  <si>
    <t>892000000.0</t>
  </si>
  <si>
    <t>804000000.0</t>
  </si>
  <si>
    <t>880000000.0</t>
  </si>
  <si>
    <t>Accounts Payable</t>
  </si>
  <si>
    <t>3851000000.0</t>
  </si>
  <si>
    <t>3317000000.0</t>
  </si>
  <si>
    <t>2940000000.0</t>
  </si>
  <si>
    <t>Total Assets</t>
  </si>
  <si>
    <t>26715000000.0</t>
  </si>
  <si>
    <t>24349000000.0</t>
  </si>
  <si>
    <t>21483000000.0</t>
  </si>
  <si>
    <t>Total Non Current Assets</t>
  </si>
  <si>
    <t>18922000000.0</t>
  </si>
  <si>
    <t>16856000000.0</t>
  </si>
  <si>
    <t>14532000000.0</t>
  </si>
  <si>
    <t>Defined Pension Benefit</t>
  </si>
  <si>
    <t>327000000.0</t>
  </si>
  <si>
    <t>542000000.0</t>
  </si>
  <si>
    <t>Non Current Prepaid Assets</t>
  </si>
  <si>
    <t>Non Current Deferred Assets</t>
  </si>
  <si>
    <t>1665000000.0</t>
  </si>
  <si>
    <t>1525000000.0</t>
  </si>
  <si>
    <t>1316000000.0</t>
  </si>
  <si>
    <t>Non Current Deferred Taxes Assets</t>
  </si>
  <si>
    <t>246000000.0</t>
  </si>
  <si>
    <t>179000000.0</t>
  </si>
  <si>
    <t>Financial Assets</t>
  </si>
  <si>
    <t>97000000.0</t>
  </si>
  <si>
    <t>69000000.0</t>
  </si>
  <si>
    <t>55000000.0</t>
  </si>
  <si>
    <t>Other Investments</t>
  </si>
  <si>
    <t>1330000000.0</t>
  </si>
  <si>
    <t>1149000000.0</t>
  </si>
  <si>
    <t>1049000000.0</t>
  </si>
  <si>
    <t>Investmentin Financial Assets</t>
  </si>
  <si>
    <t>1049279535.388782</t>
  </si>
  <si>
    <t>Available For Sale Securities</t>
  </si>
  <si>
    <t>Financial Assets Designatedas Fair Value Through Profitor Loss Total</t>
  </si>
  <si>
    <t>Trading Securities</t>
  </si>
  <si>
    <t>Long Term Equity Investment</t>
  </si>
  <si>
    <t>209000000.0</t>
  </si>
  <si>
    <t>298000000.0</t>
  </si>
  <si>
    <t>Investmentsin Joint Venturesat Cost</t>
  </si>
  <si>
    <t>1000000.0</t>
  </si>
  <si>
    <t>104000000.0</t>
  </si>
  <si>
    <t>Investmentsin Associatesat Cost</t>
  </si>
  <si>
    <t>202000000.0</t>
  </si>
  <si>
    <t>194000000.0</t>
  </si>
  <si>
    <t>Goodwill And Other Intangible Assets</t>
  </si>
  <si>
    <t>11686000000.0</t>
  </si>
  <si>
    <t>10224000000.0</t>
  </si>
  <si>
    <t>8585000000.0</t>
  </si>
  <si>
    <t>Other Intangible Assets</t>
  </si>
  <si>
    <t>3999000000.0</t>
  </si>
  <si>
    <t>3325000000.0</t>
  </si>
  <si>
    <t>2480000000.0</t>
  </si>
  <si>
    <t>7687000000.0</t>
  </si>
  <si>
    <t>6899000000.0</t>
  </si>
  <si>
    <t>6105000000.0</t>
  </si>
  <si>
    <t>Net PPE</t>
  </si>
  <si>
    <t>2946000000.0</t>
  </si>
  <si>
    <t>2555000000.0</t>
  </si>
  <si>
    <t>2158000000.0</t>
  </si>
  <si>
    <t>Accumulated Depreciation</t>
  </si>
  <si>
    <t>-2694000000.0</t>
  </si>
  <si>
    <t>-2551000000.0</t>
  </si>
  <si>
    <t>-2538000000.0</t>
  </si>
  <si>
    <t>Gross PPE</t>
  </si>
  <si>
    <t>5640000000.0</t>
  </si>
  <si>
    <t>5106000000.0</t>
  </si>
  <si>
    <t>4696000000.0</t>
  </si>
  <si>
    <t>Machinery Furniture Equipment</t>
  </si>
  <si>
    <t>4219000000.0</t>
  </si>
  <si>
    <t>3809000000.0</t>
  </si>
  <si>
    <t>3552000000.0</t>
  </si>
  <si>
    <t>Buildings And Improvements</t>
  </si>
  <si>
    <t>911000000.0</t>
  </si>
  <si>
    <t>783000000.0</t>
  </si>
  <si>
    <t>685000000.0</t>
  </si>
  <si>
    <t>Land And Improvements</t>
  </si>
  <si>
    <t>510000000.0</t>
  </si>
  <si>
    <t>514000000.0</t>
  </si>
  <si>
    <t>459000000.0</t>
  </si>
  <si>
    <t>Properties</t>
  </si>
  <si>
    <t>Current Assets</t>
  </si>
  <si>
    <t>7793000000.0</t>
  </si>
  <si>
    <t>7493000000.0</t>
  </si>
  <si>
    <t>6951000000.0</t>
  </si>
  <si>
    <t>Hedging Assets Current</t>
  </si>
  <si>
    <t>36000000.0</t>
  </si>
  <si>
    <t>22000000.0</t>
  </si>
  <si>
    <t>Assets Held For Sale Current</t>
  </si>
  <si>
    <t>5000000.0</t>
  </si>
  <si>
    <t>Prepaid Assets</t>
  </si>
  <si>
    <t>265000000.0</t>
  </si>
  <si>
    <t>195000000.0</t>
  </si>
  <si>
    <t>Inventory</t>
  </si>
  <si>
    <t>820000000.0</t>
  </si>
  <si>
    <t>734000000.0</t>
  </si>
  <si>
    <t>692000000.0</t>
  </si>
  <si>
    <t>Other Receivables</t>
  </si>
  <si>
    <t>1436000000.0</t>
  </si>
  <si>
    <t>1282000000.0</t>
  </si>
  <si>
    <t>1165000000.0</t>
  </si>
  <si>
    <t>Taxes Receivable</t>
  </si>
  <si>
    <t>44000000.0</t>
  </si>
  <si>
    <t>141000000.0</t>
  </si>
  <si>
    <t>109000000.0</t>
  </si>
  <si>
    <t>Accounts Receivable</t>
  </si>
  <si>
    <t>4570000000.0</t>
  </si>
  <si>
    <t>4139000000.0</t>
  </si>
  <si>
    <t>3734000000.0</t>
  </si>
  <si>
    <t>Allowance For Doubtful Accounts Receivable</t>
  </si>
  <si>
    <t>-131000000.0</t>
  </si>
  <si>
    <t>-124000000.0</t>
  </si>
  <si>
    <t>-113000000.0</t>
  </si>
  <si>
    <t>Gross Accounts Receivable</t>
  </si>
  <si>
    <t>4701000000.0</t>
  </si>
  <si>
    <t>4263000000.0</t>
  </si>
  <si>
    <t>3847000000.0</t>
  </si>
  <si>
    <t>Cash Cash Equivalents And Short Term Investments</t>
  </si>
  <si>
    <t>575000000.0</t>
  </si>
  <si>
    <t>623000000.0</t>
  </si>
  <si>
    <t>1029000000.0</t>
  </si>
  <si>
    <t>Cash And Cash Equivalents</t>
  </si>
  <si>
    <t>Cash Equivalents</t>
  </si>
  <si>
    <t>99000000.0</t>
  </si>
  <si>
    <t>647000000.0</t>
  </si>
  <si>
    <t>Cash Financial</t>
  </si>
  <si>
    <t>476000000.0</t>
  </si>
  <si>
    <t>437000000.0</t>
  </si>
  <si>
    <t>382000000.0</t>
  </si>
  <si>
    <t>Free Cash Flow</t>
  </si>
  <si>
    <t>2474000000.0</t>
  </si>
  <si>
    <t>2234000000.0</t>
  </si>
  <si>
    <t>1828000000.0</t>
  </si>
  <si>
    <t>Repurchase Of Capital Stock</t>
  </si>
  <si>
    <t>-115000000.0</t>
  </si>
  <si>
    <t>-577000000.0</t>
  </si>
  <si>
    <t>-1148000000.0</t>
  </si>
  <si>
    <t>Repayment Of Debt</t>
  </si>
  <si>
    <t>-882000000.0</t>
  </si>
  <si>
    <t>-1592000000.0</t>
  </si>
  <si>
    <t>-543000000.0</t>
  </si>
  <si>
    <t>Issuance Of Debt</t>
  </si>
  <si>
    <t>1412000000.0</t>
  </si>
  <si>
    <t>Issuance Of Capital Stock</t>
  </si>
  <si>
    <t>-19000000.0</t>
  </si>
  <si>
    <t>Capital Expenditure</t>
  </si>
  <si>
    <t>-892000000.0</t>
  </si>
  <si>
    <t>-901000000.0</t>
  </si>
  <si>
    <t>-708000000.0</t>
  </si>
  <si>
    <t>End Cash Position</t>
  </si>
  <si>
    <t>512000000.0</t>
  </si>
  <si>
    <t>593000000.0</t>
  </si>
  <si>
    <t>830000000.0</t>
  </si>
  <si>
    <t>Other Cash Adjustment Outside Changein Cash</t>
  </si>
  <si>
    <t>-40000000.0</t>
  </si>
  <si>
    <t>Beginning Cash Position</t>
  </si>
  <si>
    <t>1934000000.0</t>
  </si>
  <si>
    <t>Effect Of Exchange Rate Changes</t>
  </si>
  <si>
    <t>59000000.0</t>
  </si>
  <si>
    <t>169000000.0</t>
  </si>
  <si>
    <t>Changes In Cash</t>
  </si>
  <si>
    <t>-103000000.0</t>
  </si>
  <si>
    <t>-296000000.0</t>
  </si>
  <si>
    <t>-1273000000.0</t>
  </si>
  <si>
    <t>Financing Cash Flow</t>
  </si>
  <si>
    <t>-1045000000.0</t>
  </si>
  <si>
    <t>-1942000000.0</t>
  </si>
  <si>
    <t>-2580000000.0</t>
  </si>
  <si>
    <t>Net Other Financing Charges</t>
  </si>
  <si>
    <t>-140000000.0</t>
  </si>
  <si>
    <t>46000000.0</t>
  </si>
  <si>
    <t>147000000.0</t>
  </si>
  <si>
    <t>Cash Dividends Paid</t>
  </si>
  <si>
    <t>-1047000000.0</t>
  </si>
  <si>
    <t>-963000000.0</t>
  </si>
  <si>
    <t>-796000000.0</t>
  </si>
  <si>
    <t>Common Stock Dividend Paid</t>
  </si>
  <si>
    <t>Net Common Stock Issuance</t>
  </si>
  <si>
    <t>-1167000000.0</t>
  </si>
  <si>
    <t>Common Stock Payments</t>
  </si>
  <si>
    <t>Common Stock Issuance</t>
  </si>
  <si>
    <t>Net Issuance Payments Of Debt</t>
  </si>
  <si>
    <t>530000000.0</t>
  </si>
  <si>
    <t>-211000000.0</t>
  </si>
  <si>
    <t>-542000000.0</t>
  </si>
  <si>
    <t>Net Long Term Debt Issuance</t>
  </si>
  <si>
    <t>Long Term Debt Payments</t>
  </si>
  <si>
    <t>Long Term Debt Issuance</t>
  </si>
  <si>
    <t>Investing Cash Flow</t>
  </si>
  <si>
    <t>-2424000000.0</t>
  </si>
  <si>
    <t>-1489000000.0</t>
  </si>
  <si>
    <t>-1229000000.0</t>
  </si>
  <si>
    <t>Net Other Investing Changes</t>
  </si>
  <si>
    <t>-490000000.0</t>
  </si>
  <si>
    <t>-508000000.0</t>
  </si>
  <si>
    <t>-380000000.0</t>
  </si>
  <si>
    <t>Interest Received Cfi</t>
  </si>
  <si>
    <t>39000000.0</t>
  </si>
  <si>
    <t>61000000.0</t>
  </si>
  <si>
    <t>Dividends Received Cfi</t>
  </si>
  <si>
    <t>43000000.0</t>
  </si>
  <si>
    <t>65000000.0</t>
  </si>
  <si>
    <t>Net Investment Purchase And Sale</t>
  </si>
  <si>
    <t>-98000000.0</t>
  </si>
  <si>
    <t>328000000.0</t>
  </si>
  <si>
    <t>Sale Of Investment</t>
  </si>
  <si>
    <t>330000000.0</t>
  </si>
  <si>
    <t>Purchase Of Investment</t>
  </si>
  <si>
    <t>-2000000.0</t>
  </si>
  <si>
    <t>-4000000.0</t>
  </si>
  <si>
    <t>Net Business Purchase And Sale</t>
  </si>
  <si>
    <t>-1091000000.0</t>
  </si>
  <si>
    <t>-568000000.0</t>
  </si>
  <si>
    <t>-340000000.0</t>
  </si>
  <si>
    <t>Sale Of Business</t>
  </si>
  <si>
    <t>166000000.0</t>
  </si>
  <si>
    <t>225000000.0</t>
  </si>
  <si>
    <t>58000000.0</t>
  </si>
  <si>
    <t>Purchase Of Business</t>
  </si>
  <si>
    <t>-1257000000.0</t>
  </si>
  <si>
    <t>-793000000.0</t>
  </si>
  <si>
    <t>-398000000.0</t>
  </si>
  <si>
    <t>Net Intangibles Purchase And Sale</t>
  </si>
  <si>
    <t>-329000000.0</t>
  </si>
  <si>
    <t>-263000000.0</t>
  </si>
  <si>
    <t>Purchase Of Intangibles</t>
  </si>
  <si>
    <t>Net PPE Purchase And Sale</t>
  </si>
  <si>
    <t>-478000000.0</t>
  </si>
  <si>
    <t>-491000000.0</t>
  </si>
  <si>
    <t>-367000000.0</t>
  </si>
  <si>
    <t>Sale Of PPE</t>
  </si>
  <si>
    <t>67000000.0</t>
  </si>
  <si>
    <t>81000000.0</t>
  </si>
  <si>
    <t>78000000.0</t>
  </si>
  <si>
    <t>Purchase Of PPE</t>
  </si>
  <si>
    <t>-545000000.0</t>
  </si>
  <si>
    <t>-572000000.0</t>
  </si>
  <si>
    <t>-445000000.0</t>
  </si>
  <si>
    <t>Operating Cash Flow</t>
  </si>
  <si>
    <t>3366000000.0</t>
  </si>
  <si>
    <t>3135000000.0</t>
  </si>
  <si>
    <t>2536000000.0</t>
  </si>
  <si>
    <t>Taxes Refund Paid</t>
  </si>
  <si>
    <t>-653000000.0</t>
  </si>
  <si>
    <t>-693000000.0</t>
  </si>
  <si>
    <t>-539000000.0</t>
  </si>
  <si>
    <t>Interest Paid Cfo</t>
  </si>
  <si>
    <t>-327000000.0</t>
  </si>
  <si>
    <t>-267000000.0</t>
  </si>
  <si>
    <t>-208000000.0</t>
  </si>
  <si>
    <t>Change In Working Capital</t>
  </si>
  <si>
    <t>-120000000.0</t>
  </si>
  <si>
    <t>Change In Payable</t>
  </si>
  <si>
    <t>468000000.0</t>
  </si>
  <si>
    <t>679000000.0</t>
  </si>
  <si>
    <t>Change In Inventory</t>
  </si>
  <si>
    <t>-64000000.0</t>
  </si>
  <si>
    <t>-36000000.0</t>
  </si>
  <si>
    <t>-119000000.0</t>
  </si>
  <si>
    <t>Change In Receivables</t>
  </si>
  <si>
    <t>-444000000.0</t>
  </si>
  <si>
    <t>-670000000.0</t>
  </si>
  <si>
    <t>-680000000.0</t>
  </si>
  <si>
    <t>Other Non Cash Items</t>
  </si>
  <si>
    <t>753000000.0</t>
  </si>
  <si>
    <t>797000000.0</t>
  </si>
  <si>
    <t>624000000.0</t>
  </si>
  <si>
    <t>Stock Based Compensation</t>
  </si>
  <si>
    <t>82000000.0</t>
  </si>
  <si>
    <t>68000000.0</t>
  </si>
  <si>
    <t>54000000.0</t>
  </si>
  <si>
    <t>Provisionand Write Offof Assets</t>
  </si>
  <si>
    <t>-1000000.0</t>
  </si>
  <si>
    <t>-50000000.0</t>
  </si>
  <si>
    <t>Depreciation And Amortization</t>
  </si>
  <si>
    <t>Amortization Cash Flow</t>
  </si>
  <si>
    <t>183000000.0</t>
  </si>
  <si>
    <t>150000000.0</t>
  </si>
  <si>
    <t>134000000.0</t>
  </si>
  <si>
    <t>Depreciation</t>
  </si>
  <si>
    <t>Pension And Employee Benefit Expense</t>
  </si>
  <si>
    <t>15000000.0</t>
  </si>
  <si>
    <t>-13000000.0</t>
  </si>
  <si>
    <t>Gain Loss On Sale Of PPE</t>
  </si>
  <si>
    <t>Net Income From Continuing Operations</t>
  </si>
  <si>
    <t>2927000000.0</t>
  </si>
  <si>
    <t>2540000000.0</t>
  </si>
  <si>
    <t>Income Statement Drivers:</t>
  </si>
  <si>
    <t>Net New Business Growth:</t>
  </si>
  <si>
    <t>Like-For-Like Growth:</t>
  </si>
  <si>
    <t>Inflation:</t>
  </si>
  <si>
    <t>Revenue Growth Rate:</t>
  </si>
  <si>
    <t>%</t>
  </si>
  <si>
    <t>Direct Costs:</t>
  </si>
  <si>
    <t>SG&amp;A:</t>
  </si>
  <si>
    <t>SG&amp;A % Revenue:</t>
  </si>
  <si>
    <t>Direct Costs % Revenue:</t>
  </si>
  <si>
    <t>PP&amp;E:</t>
  </si>
  <si>
    <t>ROU Assets:</t>
  </si>
  <si>
    <t>CapEx and Depreciation:</t>
  </si>
  <si>
    <t>Lease Cycle:</t>
  </si>
  <si>
    <t>Total Lease Liability:</t>
  </si>
  <si>
    <t>Long-Term Lease Liability:</t>
  </si>
  <si>
    <t>Short-Term Lease Liability:</t>
  </si>
  <si>
    <t>Lease Interest Expense:</t>
  </si>
  <si>
    <t>Lease Depreciation:</t>
  </si>
  <si>
    <t>Additions:</t>
  </si>
  <si>
    <t>Beginning Rou Asset:</t>
  </si>
  <si>
    <t>Ending Rou Asset:</t>
  </si>
  <si>
    <t>(+) New Leases:</t>
  </si>
  <si>
    <t>(-) Lease Depreciation:</t>
  </si>
  <si>
    <t>Beginning Lease Liability:</t>
  </si>
  <si>
    <t>Ending Lease Liability:</t>
  </si>
  <si>
    <t>Total Cash Lease Payment:</t>
  </si>
  <si>
    <t>Total Cash Lease Payment % Lease Liability:</t>
  </si>
  <si>
    <t>Lease Depreciation  % Lease Liability:</t>
  </si>
  <si>
    <t>Lease Interest Expense % Lease Liability:</t>
  </si>
  <si>
    <t>Lease Principal Repayment:</t>
  </si>
  <si>
    <t>(-) Lease Principal Repayment:</t>
  </si>
  <si>
    <t>Additions Growth Rate:</t>
  </si>
  <si>
    <t>Short-Term Lease Liability % Total Lease Liability:</t>
  </si>
  <si>
    <t>(+) Depreciation of ROU Assets:</t>
  </si>
  <si>
    <t>(+) Non-Lease Depreciation and Amortisation:</t>
  </si>
  <si>
    <t>CapEx on PP&amp;E:</t>
  </si>
  <si>
    <t>Net CapEx:</t>
  </si>
  <si>
    <t>CapEx on PP&amp;E % Revenue:</t>
  </si>
  <si>
    <t>Amortisation of Intangibles % Intangibles:</t>
  </si>
  <si>
    <t>Amortisation of Intangibles:</t>
  </si>
  <si>
    <t>Depreciation of PP&amp;E % PP&amp;E:</t>
  </si>
  <si>
    <t>Depreciation of PP&amp;E:</t>
  </si>
  <si>
    <t xml:space="preserve"> Beginning PP&amp;E:</t>
  </si>
  <si>
    <t>(+) CapEx on PP&amp;E:</t>
  </si>
  <si>
    <t>(-) Depreciation of PP&amp;E:</t>
  </si>
  <si>
    <t>Closing PP&amp;E:</t>
  </si>
  <si>
    <t>Beginning Intangibles:</t>
  </si>
  <si>
    <t>(+) Spending on Intangibles:</t>
  </si>
  <si>
    <t>(-) Amortisation of Intangibles:</t>
  </si>
  <si>
    <t>Closing Intangibles:</t>
  </si>
  <si>
    <t>Spending on Intangibles:</t>
  </si>
  <si>
    <t>Spending on Intangibles % Revenue:</t>
  </si>
  <si>
    <t>Income Tax:</t>
  </si>
  <si>
    <t>Income Tax %:</t>
  </si>
  <si>
    <t>Balance Sheet Drivers:</t>
  </si>
  <si>
    <t>Days Sales Outstanding (DSO):</t>
  </si>
  <si>
    <t>Days Inventory Outstanding (DIO):</t>
  </si>
  <si>
    <t>Days Payable Outstanding (DPO):</t>
  </si>
  <si>
    <t># Days</t>
  </si>
  <si>
    <t>Other Current Assets % Revenue:</t>
  </si>
  <si>
    <t>Other Current Liabilities % Total Expenses:</t>
  </si>
  <si>
    <t>Other Long-Term Liabilities % Total Expenses:</t>
  </si>
  <si>
    <t>Other Long-Term Assets Growth Rate:</t>
  </si>
  <si>
    <t>Cash Flow Statement Drivers:</t>
  </si>
  <si>
    <t>Dividends:</t>
  </si>
  <si>
    <t>Dividend Payout Ratio:</t>
  </si>
  <si>
    <t>Common Shareholder Equity:</t>
  </si>
  <si>
    <t>Beginning Balance:</t>
  </si>
  <si>
    <t>Ending Balance:</t>
  </si>
  <si>
    <t>Short-Term Borrowings (Commercial Paper + Overdraft):</t>
  </si>
  <si>
    <t>Bond Maturing in Forecast (FY26 - FY30):</t>
  </si>
  <si>
    <t>Long-Dated Bonds (Maturing After FY30):</t>
  </si>
  <si>
    <t>Interest Rates:</t>
  </si>
  <si>
    <t>Interest Expense for Short-Term Borrowings:</t>
  </si>
  <si>
    <t>Interest Expense for Bonds (Maturing After FY30);</t>
  </si>
  <si>
    <t>Interest Expense for Bonds Maturing in Forecast (FY26 - FY30):</t>
  </si>
  <si>
    <t>Bonds Maturing in Forecast (FY26 - FY30):</t>
  </si>
  <si>
    <t>Total Interest Expense:</t>
  </si>
  <si>
    <t>Debt Schedule:</t>
  </si>
  <si>
    <t>Money Market Rate:</t>
  </si>
  <si>
    <t>Stock Repurchases:</t>
  </si>
  <si>
    <t>Stock Repurchases % Net Income:</t>
  </si>
  <si>
    <t>(-) Restructuring / Integration:</t>
  </si>
  <si>
    <t>Restructuring / Integration:</t>
  </si>
  <si>
    <t>Key Performance Indicators:</t>
  </si>
  <si>
    <t>Revenue Growth YoY:</t>
  </si>
  <si>
    <t>EBITDA:</t>
  </si>
  <si>
    <t>EBITDA Margin:</t>
  </si>
  <si>
    <t>Net Profit Margin:</t>
  </si>
  <si>
    <t>Net Debt / EBITDA:</t>
  </si>
  <si>
    <t>Interest Coverage Ratio:</t>
  </si>
  <si>
    <t>CapEx % Revenue:</t>
  </si>
  <si>
    <t>NWC % Revenue:</t>
  </si>
  <si>
    <t>Return on Invested Capital:</t>
  </si>
  <si>
    <t>Cash Conversion Cycle:</t>
  </si>
  <si>
    <t>(-) Repayments:</t>
  </si>
  <si>
    <t>(+) Issuances:</t>
  </si>
  <si>
    <t>Operating Statistics:</t>
  </si>
  <si>
    <t>Ticker:</t>
  </si>
  <si>
    <t>Share</t>
  </si>
  <si>
    <t xml:space="preserve">Equity </t>
  </si>
  <si>
    <t>Sodexo</t>
  </si>
  <si>
    <t>Aramark</t>
  </si>
  <si>
    <t>Elior Group</t>
  </si>
  <si>
    <t>ISS Group</t>
  </si>
  <si>
    <t>SW</t>
  </si>
  <si>
    <t>ARMK</t>
  </si>
  <si>
    <t>ELIOR</t>
  </si>
  <si>
    <t>ISS</t>
  </si>
  <si>
    <t>Beta</t>
  </si>
  <si>
    <t>Tax Rate</t>
  </si>
  <si>
    <t>Preferred</t>
  </si>
  <si>
    <t>Enterprise</t>
  </si>
  <si>
    <t>Value ($M)</t>
  </si>
  <si>
    <t>Price ($)</t>
  </si>
  <si>
    <t>Projected</t>
  </si>
  <si>
    <t>Revenue</t>
  </si>
  <si>
    <t>EBITDA Margin</t>
  </si>
  <si>
    <t>Growth</t>
  </si>
  <si>
    <t>TTM</t>
  </si>
  <si>
    <t>SSP Group</t>
  </si>
  <si>
    <t>SSPG</t>
  </si>
  <si>
    <t>Maximum</t>
  </si>
  <si>
    <t>75th Percentile</t>
  </si>
  <si>
    <t>Median</t>
  </si>
  <si>
    <t>25th Percentile</t>
  </si>
  <si>
    <t>Minimum</t>
  </si>
  <si>
    <t>Revenue ($M)</t>
  </si>
  <si>
    <t>EBITDA ($M)</t>
  </si>
  <si>
    <t>Net Income ($M)</t>
  </si>
  <si>
    <t>Valuation Statistics:</t>
  </si>
  <si>
    <t>Enterprise Value /</t>
  </si>
  <si>
    <t xml:space="preserve">P/E </t>
  </si>
  <si>
    <t>CPG</t>
  </si>
  <si>
    <t>Statement of Cash Flows:</t>
  </si>
  <si>
    <t>DCF Output:</t>
  </si>
  <si>
    <t>Free Cash Flow Projections:</t>
  </si>
  <si>
    <t>(-) Tax Expense:</t>
  </si>
  <si>
    <t>Net Operating Profit After Taxes (NOPAT):</t>
  </si>
  <si>
    <t>Unlevered Free Cash Flow:</t>
  </si>
  <si>
    <t>WACC Calculation:</t>
  </si>
  <si>
    <t>Levered</t>
  </si>
  <si>
    <t>Equity</t>
  </si>
  <si>
    <t>Unlevered</t>
  </si>
  <si>
    <t>Name</t>
  </si>
  <si>
    <t>Ticker</t>
  </si>
  <si>
    <t>% Debt</t>
  </si>
  <si>
    <t>% Preferred</t>
  </si>
  <si>
    <t>% Equity</t>
  </si>
  <si>
    <t>Unlevered Beta Calculations:</t>
  </si>
  <si>
    <t>Debt ($M)</t>
  </si>
  <si>
    <t>Stock ($M)</t>
  </si>
  <si>
    <t>Levered Beta Calculations:</t>
  </si>
  <si>
    <t>Current Capital Structure:</t>
  </si>
  <si>
    <t>Optimal Capital Structure:</t>
  </si>
  <si>
    <t>Equity Risk Premium:</t>
  </si>
  <si>
    <t>Pre-Tax Cost of Debt:</t>
  </si>
  <si>
    <t>Cost of Preferred Stock:</t>
  </si>
  <si>
    <t>Cost of Equity Based on Historical Beta:</t>
  </si>
  <si>
    <t>Cost of Equity Based on Comparables Using Current Capital Structure:</t>
  </si>
  <si>
    <t>Cost of Equity Based on Comparables Using Optimal Capital Structure:</t>
  </si>
  <si>
    <t>WACC (Historical Cost of Equity):</t>
  </si>
  <si>
    <t>WACC (Current Capital Structure):</t>
  </si>
  <si>
    <t>WACC (Optimal Capital Structure):</t>
  </si>
  <si>
    <t>Terminal Value - Multiples Method:</t>
  </si>
  <si>
    <t>Terminal Value - Perpetuity Growth Method:</t>
  </si>
  <si>
    <t>Baseline Terminal FCF Growth Rate:</t>
  </si>
  <si>
    <t>Baseline Terminal Value:</t>
  </si>
  <si>
    <t>Implied Terminal FCF Growth Rate:</t>
  </si>
  <si>
    <t>Implied Terminal EBITDA Multiple:</t>
  </si>
  <si>
    <t>(+) PV of Terminal Value:</t>
  </si>
  <si>
    <t>(+) PV of UFCFs:</t>
  </si>
  <si>
    <t>Implied Enterprise Value:</t>
  </si>
  <si>
    <t>% of Implied TEV from Terminal Value:</t>
  </si>
  <si>
    <t>(+) Cash &amp; Investments:</t>
  </si>
  <si>
    <t>(-) Preferred Stock:</t>
  </si>
  <si>
    <t>(-) Noncontrolling Interests:</t>
  </si>
  <si>
    <t>Implied Equity Value:</t>
  </si>
  <si>
    <t>Diluted Shares Outstanding:</t>
  </si>
  <si>
    <t>Implied Share Price from DCF:</t>
  </si>
  <si>
    <t>Premium / (Discount) to Current:</t>
  </si>
  <si>
    <t>Valuation Date:</t>
  </si>
  <si>
    <t>Date</t>
  </si>
  <si>
    <t>Current Share Price:</t>
  </si>
  <si>
    <t>M Shares</t>
  </si>
  <si>
    <t>Discount Rate (WACC):</t>
  </si>
  <si>
    <t>Projected FY30 EBITDA:</t>
  </si>
  <si>
    <t>Discount Rate (WACC)</t>
  </si>
  <si>
    <t>Current Equity Value:</t>
  </si>
  <si>
    <t>(-) Cash &amp; Investments:</t>
  </si>
  <si>
    <t>(+) Preferred Stock:</t>
  </si>
  <si>
    <t>(+) Noncontrolling Interests:</t>
  </si>
  <si>
    <t>Current Enterprise Value:</t>
  </si>
  <si>
    <t>$ M</t>
  </si>
  <si>
    <t>(+) Debt:</t>
  </si>
  <si>
    <t>(+) Leases:</t>
  </si>
  <si>
    <t>(-) Debt:</t>
  </si>
  <si>
    <t>(-) Leases:</t>
  </si>
  <si>
    <t>(-) Net Pension Asset:</t>
  </si>
  <si>
    <t>(+) Net Pension Asset:</t>
  </si>
  <si>
    <t>75th</t>
  </si>
  <si>
    <t>25th</t>
  </si>
  <si>
    <t>Applicable</t>
  </si>
  <si>
    <t>Percentile</t>
  </si>
  <si>
    <t>Company</t>
  </si>
  <si>
    <t>Methodology Name</t>
  </si>
  <si>
    <t>Multiple</t>
  </si>
  <si>
    <t>Figure</t>
  </si>
  <si>
    <t>TTM TEV / Revenue:</t>
  </si>
  <si>
    <t>TTM TEV / EBITDA:</t>
  </si>
  <si>
    <t>TTM P / E:</t>
  </si>
  <si>
    <t>Sensitivity Analysis:</t>
  </si>
  <si>
    <t>Terminal TEV / EBITDA Multiple:</t>
  </si>
  <si>
    <t>Terminal FCF Growth Rate:</t>
  </si>
  <si>
    <t>Transaction Assumptions:</t>
  </si>
  <si>
    <t>Undisturbed Share Price:</t>
  </si>
  <si>
    <t>Premium Paid:</t>
  </si>
  <si>
    <t>Offer Price per Share:</t>
  </si>
  <si>
    <t>Purchase Equity Value:</t>
  </si>
  <si>
    <t>Purchase Enterprise Value:</t>
  </si>
  <si>
    <t>Purchase TEV / EBITDA Multiple:</t>
  </si>
  <si>
    <t>x</t>
  </si>
  <si>
    <t>Normalised EBITDA:</t>
  </si>
  <si>
    <t>Normalised Purchase TEV / EBITDA Multiple:</t>
  </si>
  <si>
    <t>Debt Issuance Fee %:</t>
  </si>
  <si>
    <t>Amortization Period:</t>
  </si>
  <si>
    <t>Years</t>
  </si>
  <si>
    <t>Legal and Other Fees:</t>
  </si>
  <si>
    <t>Selected Operating Scenario:</t>
  </si>
  <si>
    <t>Downside</t>
  </si>
  <si>
    <t>Minimum Cash Balance:</t>
  </si>
  <si>
    <t>Tax Rate:</t>
  </si>
  <si>
    <t>Exit Year:</t>
  </si>
  <si>
    <t>Year 3 EBITDA Exit Multiple:</t>
  </si>
  <si>
    <t>Upside</t>
  </si>
  <si>
    <t>Base</t>
  </si>
  <si>
    <t>Selected Scenario:</t>
  </si>
  <si>
    <t>Sources &amp; Uses Schedule:</t>
  </si>
  <si>
    <t>Sources of Funds:</t>
  </si>
  <si>
    <t>x EBITDA</t>
  </si>
  <si>
    <t>% Sources</t>
  </si>
  <si>
    <t>Uses of Funds:</t>
  </si>
  <si>
    <t>Revolver:</t>
  </si>
  <si>
    <t>Term Loan A:</t>
  </si>
  <si>
    <t>Assume/Replace Target's Debt:</t>
  </si>
  <si>
    <t>Term Loan B:</t>
  </si>
  <si>
    <t>Transaction Fees:</t>
  </si>
  <si>
    <t>Subordinated Notes:</t>
  </si>
  <si>
    <t>Financing Fees:</t>
  </si>
  <si>
    <t>Management Rollover:</t>
  </si>
  <si>
    <t>Total Uses:</t>
  </si>
  <si>
    <t>Excess Cash:</t>
  </si>
  <si>
    <t>Investor Equity:</t>
  </si>
  <si>
    <t>Total Sources:</t>
  </si>
  <si>
    <t>Advisory Fee % Purchase Equity Value:</t>
  </si>
  <si>
    <t>Ownership Details:</t>
  </si>
  <si>
    <t>Management:</t>
  </si>
  <si>
    <t>Sponsor:</t>
  </si>
  <si>
    <t>Transaction Adjustments:</t>
  </si>
  <si>
    <t>Debit</t>
  </si>
  <si>
    <t>Credit</t>
  </si>
  <si>
    <t>(+) Amortization of Financing Fees:</t>
  </si>
  <si>
    <t>(+) PIK Interest:</t>
  </si>
  <si>
    <t>Goodwill Creation &amp; Purchase Price Allocation:</t>
  </si>
  <si>
    <t>Goodwill Calculation:</t>
  </si>
  <si>
    <t>Equity Purchase Price:</t>
  </si>
  <si>
    <t>(-) Seller's Common Book Value:</t>
  </si>
  <si>
    <t>(+) Write-Off of Existing Goodwill:</t>
  </si>
  <si>
    <t>Total Allocable Purchase Premium:</t>
  </si>
  <si>
    <t>Benchmark</t>
  </si>
  <si>
    <t>Fixed</t>
  </si>
  <si>
    <t>PIK</t>
  </si>
  <si>
    <t>Floor:</t>
  </si>
  <si>
    <t>Spread:</t>
  </si>
  <si>
    <t>Rate:</t>
  </si>
  <si>
    <t>Margin:</t>
  </si>
  <si>
    <t>Interest Paid on Debt:</t>
  </si>
  <si>
    <t>Total Interest Paid (Cash + PIK):</t>
  </si>
  <si>
    <t>Cash Flow Available for Debt Repayment:</t>
  </si>
  <si>
    <t>Cash - Beginning of Period:</t>
  </si>
  <si>
    <t>(+) Free Cash Flow:</t>
  </si>
  <si>
    <t>(-) Mandatory Debt Repayments:</t>
  </si>
  <si>
    <t>(-) Minimum Cash:</t>
  </si>
  <si>
    <t>(+) Revolver Draw / (-) Repayment:</t>
  </si>
  <si>
    <t>Cash Flow Available for Term Loan A:</t>
  </si>
  <si>
    <t>(-) Optional Repayments of Term Loan A:</t>
  </si>
  <si>
    <t>Cash Flow Available for Term Loan B:</t>
  </si>
  <si>
    <t>(-) Optional Repayments of Term Loan B:</t>
  </si>
  <si>
    <t>Cash Flow Available for Subordinated Notes:</t>
  </si>
  <si>
    <t>(-) Call Premium Paid:</t>
  </si>
  <si>
    <t>Cash Generated ABOVE Minimum Cash Balance:</t>
  </si>
  <si>
    <t>(+) Revolver Draw:</t>
  </si>
  <si>
    <t>(-) Revolver Repayment:</t>
  </si>
  <si>
    <t>Senior Term Loan A:</t>
  </si>
  <si>
    <t>(-) Mandatory Repayments:</t>
  </si>
  <si>
    <t>(-) Optional Repayments:</t>
  </si>
  <si>
    <t>Senior Term Loan B:</t>
  </si>
  <si>
    <t>Beginning Revolver:</t>
  </si>
  <si>
    <t>Beginning Senior Term Loan A:</t>
  </si>
  <si>
    <t>Beginning Senior Term Loan B:</t>
  </si>
  <si>
    <t>Beginning Subordinated Notes:</t>
  </si>
  <si>
    <t>Ending Revolver:</t>
  </si>
  <si>
    <t>Ending Senior Term Loan A:</t>
  </si>
  <si>
    <t>Ending Senior Term Loan B:</t>
  </si>
  <si>
    <t>Ending Subordinated Notes:</t>
  </si>
  <si>
    <t>(+/-) Revolver and Optional Debt Repayments:</t>
  </si>
  <si>
    <t>Cash - End of Period:</t>
  </si>
  <si>
    <t>(+/-) Debt Issuances / Repayments on Old Debt:</t>
  </si>
  <si>
    <t>Free Cash Flow for Debt Repayments:</t>
  </si>
  <si>
    <t>UK Base Rate:</t>
  </si>
  <si>
    <t>Call Premiums:</t>
  </si>
  <si>
    <t>(-) Optional Repayments of Subordinate Notes:</t>
  </si>
  <si>
    <t>(-) Amortisation of Financing Fees:</t>
  </si>
  <si>
    <t>Credit Stats and Ratios:</t>
  </si>
  <si>
    <t>Senior Debt:</t>
  </si>
  <si>
    <t>Total Debt:</t>
  </si>
  <si>
    <t>Interest Expense on Debt:</t>
  </si>
  <si>
    <t>Amortization of Financing Fees:</t>
  </si>
  <si>
    <t>Senior Debt / EBITDA:</t>
  </si>
  <si>
    <t>Total Debt / EBITDA:</t>
  </si>
  <si>
    <t>EBITDA / Total Interest Expense:</t>
  </si>
  <si>
    <t>EBITDA / Interest Expense on Debt:</t>
  </si>
  <si>
    <t>Cumulative Debt Paydown:</t>
  </si>
  <si>
    <t>Cumulative Paydown % Initial Debt:</t>
  </si>
  <si>
    <t>Revenue Growth:</t>
  </si>
  <si>
    <t>Returns Calculations:</t>
  </si>
  <si>
    <t>Numerical Year:</t>
  </si>
  <si>
    <t>#</t>
  </si>
  <si>
    <t>(x) Exit Multiple:</t>
  </si>
  <si>
    <t>Exit Enterprise Value:</t>
  </si>
  <si>
    <t>Exit Equity Value:</t>
  </si>
  <si>
    <t>Project-Level Returns:</t>
  </si>
  <si>
    <t>Multiple:</t>
  </si>
  <si>
    <t>IRR:</t>
  </si>
  <si>
    <t>Returns to Management:</t>
  </si>
  <si>
    <t>Management Common Equity:</t>
  </si>
  <si>
    <t>Initial Investment:</t>
  </si>
  <si>
    <t>(+) Exit Equity Proceeds:</t>
  </si>
  <si>
    <t>Total Cash Flows:</t>
  </si>
  <si>
    <t>Returns to Sponsor:</t>
  </si>
  <si>
    <t>Sponsor Common Equity:</t>
  </si>
  <si>
    <t>Sponsor Multiple:</t>
  </si>
  <si>
    <t>Sponsor IRR:</t>
  </si>
  <si>
    <t>Total Debt Incl. Leases:</t>
  </si>
  <si>
    <t>Net Debt Incl. Leases:</t>
  </si>
  <si>
    <t>Total Debt Incl. Leases / EBITDA:</t>
  </si>
  <si>
    <t>Net Debt Incl. Leases / EBITDA:</t>
  </si>
  <si>
    <t>Terminal EBITDA Multiple:</t>
  </si>
  <si>
    <t>Expected Long-Term Nominal GDP Growth:</t>
  </si>
  <si>
    <t>Risk-Free Rate (10 Year Govt Bond):</t>
  </si>
  <si>
    <t>Status:</t>
  </si>
  <si>
    <t>Overvalued</t>
  </si>
  <si>
    <t>Headline KPIs</t>
  </si>
  <si>
    <t>Share Price Premium:</t>
  </si>
  <si>
    <t>Operating Scenario:</t>
  </si>
  <si>
    <t>Offer Share Price:</t>
  </si>
  <si>
    <t>DCF Multiple Method:</t>
  </si>
  <si>
    <t>DCF Perpetuity Growth Rate Method:</t>
  </si>
  <si>
    <t>LBO:</t>
  </si>
  <si>
    <t>Min</t>
  </si>
  <si>
    <t>Max</t>
  </si>
  <si>
    <t>Min Point</t>
  </si>
  <si>
    <t>Median Point</t>
  </si>
  <si>
    <t>75th Point</t>
  </si>
  <si>
    <t>Max Point</t>
  </si>
  <si>
    <t>25th Point</t>
  </si>
  <si>
    <t>Current Share Price</t>
  </si>
  <si>
    <t>Valuation Methodology</t>
  </si>
  <si>
    <t>DCF: Perpetuity Growth</t>
  </si>
  <si>
    <t>DCF: Multiple Method</t>
  </si>
  <si>
    <t>LBO: Ability to Pay (15-25% IRR)</t>
  </si>
  <si>
    <t>Implied TEV ($M)</t>
  </si>
  <si>
    <t>vs. Spot</t>
  </si>
  <si>
    <t>Range Parameters</t>
  </si>
  <si>
    <t>3.0% – 4.0% Terminal Growth</t>
  </si>
  <si>
    <t>9.0x – 11.5x EBITDA Multiple</t>
  </si>
  <si>
    <t>25th – 75th Peer Percentile</t>
  </si>
  <si>
    <t>Required 25.0% – 15.0% IRR</t>
  </si>
  <si>
    <t>Low ($)</t>
  </si>
  <si>
    <t>High ($)</t>
  </si>
  <si>
    <t>Median ($)</t>
  </si>
  <si>
    <t>Comps: FY26 P/E</t>
  </si>
  <si>
    <t>Spot Price as of Valuation Date</t>
  </si>
  <si>
    <t>Comps: FY26 EV/EBITDA</t>
  </si>
  <si>
    <t>Valuation Output Summary:</t>
  </si>
  <si>
    <t>Core Model Assumptions:</t>
  </si>
  <si>
    <t>LBO Assumptions:</t>
  </si>
  <si>
    <t>DCF Assumptions:</t>
  </si>
  <si>
    <t>Operating Assumptions:</t>
  </si>
  <si>
    <t>Investment Thesis: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</si>
</sst>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3">
    <numFmt numFmtId="41" formatCode="_(* #,##0_);_(* \(#,##0\);_(* &quot;-&quot;_);_(@_)"/>
    <numFmt numFmtId="43" formatCode="_(* #,##0.00_);_(* \(#,##0.00\);_(* &quot;-&quot;??_);_(@_)"/>
    <numFmt numFmtId="164" formatCode="yyyy\-mm\-dd;@"/>
    <numFmt numFmtId="165" formatCode="&quot;FY&quot;yy"/>
    <numFmt numFmtId="166" formatCode="_([$$-409]* #,##0_);_([$$-409]* \(#,##0\);_([$$-409]* &quot;-&quot;??_);_(@_)"/>
    <numFmt numFmtId="167" formatCode="_(* #,##0.0_);_(* \(#,##0.0\);_(* &quot;-&quot;??_);_(@_)"/>
    <numFmt numFmtId="168" formatCode="_(* #,##0_);_(* \(#,##0\);_(* &quot;-&quot;??_);_(@_)"/>
    <numFmt numFmtId="169" formatCode="&quot;FY&quot;\ yy"/>
    <numFmt numFmtId="170" formatCode="0.0%"/>
    <numFmt numFmtId="171" formatCode="_(* #,##0.0_);_(* \(#,##0.0\);_(* &quot;-&quot;?_);_(@_)"/>
    <numFmt numFmtId="172" formatCode="_(* #,##0.0_);_(* \(#,##0.0\);_(* &quot;-&quot;_);_(@_)"/>
    <numFmt numFmtId="173" formatCode="_(* #,##0.00_);_(* \(#,##0.00\);_(* &quot;-&quot;?_);_(@_)"/>
    <numFmt numFmtId="174" formatCode="_(* #,##0_);_(* \(#,##0\);_(* &quot;-&quot;?_);_(@_)"/>
    <numFmt numFmtId="175" formatCode="_(* #,##0.00_);_(* \(#,##0.00\);_(* &quot;-&quot;_);_(@_)"/>
    <numFmt numFmtId="176" formatCode="0.0\ \x"/>
    <numFmt numFmtId="177" formatCode="_(#,##0.00_);\(#,##0.00\);_(&quot;–&quot;_);_(@_)"/>
    <numFmt numFmtId="178" formatCode="_(0.00%_);\(0.00%\);_(&quot;–&quot;_)_%;_(@_)_%"/>
    <numFmt numFmtId="179" formatCode="0.0%;\(0.0%\)"/>
    <numFmt numFmtId="180" formatCode="_(&quot;$&quot;* #,##0.0_);_(&quot;$&quot;* \(#,##0.0\);_(&quot;$&quot;* &quot;-&quot;?_);_(@_)"/>
    <numFmt numFmtId="181" formatCode="_(* #,##0.0%;_(* \(#,##0.0%\);_(* &quot;- %&quot;_);_(* @_%_)"/>
    <numFmt numFmtId="182" formatCode="0.00%;\(0.00%\)"/>
    <numFmt numFmtId="183" formatCode="* _(##,##0.0_);[Red]* \(##,##0.0\);* _(&quot;-&quot;?_);_(@_)"/>
    <numFmt numFmtId="191" formatCode="_([$$-409]* #,##0.00_);_([$$-409]* \(#,##0.00\);_([$$-409]* &quot;-&quot;??_);_(@_)"/>
  </numFmts>
  <fonts count="51" x14ac:knownFonts="1">
    <font>
      <sz val="12"/>
      <color theme="1"/>
      <name val="Aptos Narrow"/>
      <family val="2"/>
      <scheme val="minor"/>
    </font>
    <font>
      <sz val="12"/>
      <color theme="1"/>
      <name val="Aptos Narrow"/>
      <family val="2"/>
      <scheme val="minor"/>
    </font>
    <font>
      <b/>
      <sz val="12"/>
      <color theme="0"/>
      <name val="Aptos Narrow"/>
      <family val="2"/>
      <scheme val="minor"/>
    </font>
    <font>
      <b/>
      <sz val="12"/>
      <color theme="1"/>
      <name val="Aptos Narrow"/>
      <family val="2"/>
      <scheme val="minor"/>
    </font>
    <font>
      <sz val="12"/>
      <color theme="0"/>
      <name val="Aptos Narrow"/>
      <family val="2"/>
      <scheme val="minor"/>
    </font>
    <font>
      <b/>
      <sz val="12"/>
      <color theme="1"/>
      <name val="Aptos Narrow"/>
      <scheme val="minor"/>
    </font>
    <font>
      <b/>
      <sz val="12"/>
      <color theme="0"/>
      <name val="Aptos Narrow (Body)"/>
    </font>
    <font>
      <b/>
      <sz val="12"/>
      <color theme="0"/>
      <name val="Aptos Narrow"/>
      <scheme val="minor"/>
    </font>
    <font>
      <sz val="12"/>
      <color rgb="FF0000FF"/>
      <name val="Aptos Narrow"/>
      <family val="2"/>
      <scheme val="minor"/>
    </font>
    <font>
      <b/>
      <i/>
      <sz val="12"/>
      <color theme="0"/>
      <name val="Aptos Narrow"/>
      <scheme val="minor"/>
    </font>
    <font>
      <b/>
      <i/>
      <sz val="12"/>
      <color theme="1"/>
      <name val="Aptos Narrow"/>
      <scheme val="minor"/>
    </font>
    <font>
      <b/>
      <i/>
      <sz val="12"/>
      <color theme="0"/>
      <name val="Aptos Narrow (Body)"/>
    </font>
    <font>
      <sz val="12"/>
      <color rgb="FF000000"/>
      <name val="Aptos Narrow"/>
      <scheme val="minor"/>
    </font>
    <font>
      <b/>
      <sz val="12"/>
      <color rgb="FF0000FF"/>
      <name val="Aptos Narrow"/>
      <scheme val="minor"/>
    </font>
    <font>
      <sz val="12"/>
      <color rgb="FF0000FF"/>
      <name val="Aptos Narrow"/>
      <scheme val="minor"/>
    </font>
    <font>
      <sz val="12"/>
      <color rgb="FF000000"/>
      <name val="Calibri"/>
      <family val="2"/>
    </font>
    <font>
      <sz val="12"/>
      <color theme="1"/>
      <name val="Aptos Narrow"/>
      <scheme val="minor"/>
    </font>
    <font>
      <sz val="12"/>
      <color theme="2" tint="-9.9978637043366805E-2"/>
      <name val="Aptos Narrow"/>
      <family val="2"/>
      <scheme val="minor"/>
    </font>
    <font>
      <b/>
      <sz val="12"/>
      <color theme="1"/>
      <name val="Aptos Narrow (Body)"/>
    </font>
    <font>
      <i/>
      <sz val="12"/>
      <color theme="1"/>
      <name val="Aptos Narrow"/>
      <scheme val="minor"/>
    </font>
    <font>
      <b/>
      <sz val="12"/>
      <name val="Aptos Narrow"/>
      <family val="2"/>
      <scheme val="minor"/>
    </font>
    <font>
      <i/>
      <sz val="12"/>
      <color theme="1"/>
      <name val="Aptos Narrow"/>
      <family val="2"/>
      <scheme val="minor"/>
    </font>
    <font>
      <i/>
      <sz val="10"/>
      <color rgb="FF000000"/>
      <name val="Helvetica Neue"/>
      <family val="2"/>
    </font>
    <font>
      <b/>
      <i/>
      <sz val="12"/>
      <color theme="1"/>
      <name val="Aptos Narrow"/>
      <family val="2"/>
      <scheme val="minor"/>
    </font>
    <font>
      <b/>
      <i/>
      <sz val="10"/>
      <color rgb="FF000000"/>
      <name val="Helvetica Neue"/>
      <family val="2"/>
    </font>
    <font>
      <sz val="12"/>
      <color rgb="FF000000"/>
      <name val="Aptos Narrow"/>
      <family val="2"/>
      <scheme val="minor"/>
    </font>
    <font>
      <i/>
      <sz val="12"/>
      <color rgb="FF000000"/>
      <name val="Calibri"/>
      <family val="2"/>
    </font>
    <font>
      <b/>
      <sz val="12"/>
      <color rgb="FF000000"/>
      <name val="Calibri"/>
      <family val="2"/>
    </font>
    <font>
      <sz val="10"/>
      <name val="Arial"/>
      <family val="2"/>
    </font>
    <font>
      <sz val="12"/>
      <name val="Aptos Narrow"/>
      <family val="2"/>
      <scheme val="minor"/>
    </font>
    <font>
      <b/>
      <sz val="12"/>
      <name val="Aptos Narrow"/>
      <scheme val="minor"/>
    </font>
    <font>
      <b/>
      <sz val="20"/>
      <color theme="1"/>
      <name val="Aptos Narrow"/>
      <scheme val="minor"/>
    </font>
    <font>
      <sz val="12"/>
      <color rgb="FF00B050"/>
      <name val="Aptos Narrow"/>
      <family val="2"/>
      <scheme val="minor"/>
    </font>
    <font>
      <sz val="11"/>
      <color theme="1"/>
      <name val="Aptos Narrow"/>
      <family val="2"/>
      <scheme val="minor"/>
    </font>
    <font>
      <i/>
      <sz val="12"/>
      <name val="Aptos Narrow"/>
      <family val="2"/>
      <scheme val="minor"/>
    </font>
    <font>
      <b/>
      <i/>
      <sz val="12"/>
      <name val="Aptos Narrow"/>
      <scheme val="minor"/>
    </font>
    <font>
      <b/>
      <sz val="12"/>
      <color rgb="FF00B050"/>
      <name val="Aptos Narrow"/>
      <scheme val="minor"/>
    </font>
    <font>
      <sz val="12"/>
      <color rgb="FF00B050"/>
      <name val="Aptos Narrow"/>
      <scheme val="minor"/>
    </font>
    <font>
      <sz val="12"/>
      <color theme="0" tint="-0.14999847407452621"/>
      <name val="Aptos Narrow"/>
      <family val="2"/>
      <scheme val="minor"/>
    </font>
    <font>
      <sz val="12"/>
      <color theme="0"/>
      <name val="Aptos Narrow"/>
      <scheme val="minor"/>
    </font>
    <font>
      <sz val="12"/>
      <color rgb="FF0000FF"/>
      <name val="Calibri"/>
      <family val="2"/>
    </font>
    <font>
      <sz val="12"/>
      <color rgb="FF00B050"/>
      <name val="Calibri"/>
      <family val="2"/>
    </font>
    <font>
      <b/>
      <sz val="12"/>
      <color rgb="FFFFFFFF"/>
      <name val="Aptos Narrow"/>
      <family val="2"/>
      <scheme val="minor"/>
    </font>
    <font>
      <sz val="12"/>
      <color rgb="FFFFFFFF"/>
      <name val="Aptos Narrow"/>
      <family val="2"/>
      <scheme val="minor"/>
    </font>
    <font>
      <i/>
      <sz val="12"/>
      <color rgb="FFFFFFFF"/>
      <name val="Aptos Narrow"/>
      <family val="2"/>
      <scheme val="minor"/>
    </font>
    <font>
      <i/>
      <sz val="12"/>
      <color rgb="FF00B050"/>
      <name val="Aptos Narrow"/>
      <family val="2"/>
      <scheme val="minor"/>
    </font>
    <font>
      <sz val="12"/>
      <name val="Aptos Narrow"/>
      <scheme val="minor"/>
    </font>
    <font>
      <i/>
      <sz val="12"/>
      <name val="Aptos Narrow"/>
      <scheme val="minor"/>
    </font>
    <font>
      <sz val="12"/>
      <color rgb="FFFF0000"/>
      <name val="Aptos Narrow"/>
      <family val="2"/>
      <scheme val="minor"/>
    </font>
    <font>
      <b/>
      <sz val="12"/>
      <color rgb="FF000000"/>
      <name val="Aptos Narrow"/>
      <family val="2"/>
      <scheme val="minor"/>
    </font>
    <font>
      <b/>
      <sz val="12"/>
      <color theme="3" tint="9.9978637043366805E-2"/>
      <name val="Aptos Narrow"/>
      <scheme val="minor"/>
    </font>
  </fonts>
  <fills count="12">
    <fill>
      <patternFill patternType="none"/>
    </fill>
    <fill>
      <patternFill patternType="gray125"/>
    </fill>
    <fill>
      <patternFill patternType="solid">
        <fgColor rgb="FFFFFFCC"/>
      </patternFill>
    </fill>
    <fill>
      <patternFill patternType="solid">
        <fgColor theme="3" tint="9.9978637043366805E-2"/>
        <bgColor indexed="64"/>
      </patternFill>
    </fill>
    <fill>
      <patternFill patternType="solid">
        <fgColor rgb="FFFFFF99"/>
        <bgColor indexed="64"/>
      </patternFill>
    </fill>
    <fill>
      <patternFill patternType="solid">
        <fgColor theme="2" tint="-9.9978637043366805E-2"/>
        <bgColor indexed="64"/>
      </patternFill>
    </fill>
    <fill>
      <patternFill patternType="solid">
        <fgColor theme="0" tint="-0.14999847407452621"/>
        <bgColor indexed="64"/>
      </patternFill>
    </fill>
    <fill>
      <patternFill patternType="solid">
        <fgColor theme="3" tint="0.749992370372631"/>
        <bgColor indexed="64"/>
      </patternFill>
    </fill>
    <fill>
      <patternFill patternType="solid">
        <fgColor theme="0"/>
        <bgColor indexed="64"/>
      </patternFill>
    </fill>
    <fill>
      <patternFill patternType="solid">
        <fgColor theme="3" tint="0.89999084444715716"/>
        <bgColor indexed="64"/>
      </patternFill>
    </fill>
    <fill>
      <patternFill patternType="solid">
        <fgColor theme="2" tint="-9.9978637043366805E-2"/>
        <bgColor rgb="FF000000"/>
      </patternFill>
    </fill>
    <fill>
      <patternFill patternType="solid">
        <fgColor theme="0" tint="-4.9989318521683403E-2"/>
        <bgColor indexed="64"/>
      </patternFill>
    </fill>
  </fills>
  <borders count="49">
    <border>
      <left/>
      <right/>
      <top/>
      <bottom/>
      <diagonal/>
    </border>
    <border>
      <left style="thin">
        <color rgb="FFB2B2B2"/>
      </left>
      <right style="thin">
        <color rgb="FFB2B2B2"/>
      </right>
      <top style="thin">
        <color rgb="FFB2B2B2"/>
      </top>
      <bottom style="thin">
        <color rgb="FFB2B2B2"/>
      </bottom>
      <diagonal/>
    </border>
    <border>
      <left/>
      <right/>
      <top/>
      <bottom style="thin">
        <color indexed="64"/>
      </bottom>
      <diagonal/>
    </border>
    <border>
      <left/>
      <right/>
      <top/>
      <bottom style="thin">
        <color theme="0"/>
      </bottom>
      <diagonal/>
    </border>
    <border>
      <left/>
      <right style="thin">
        <color theme="0"/>
      </right>
      <top/>
      <bottom style="thin">
        <color theme="0"/>
      </bottom>
      <diagonal/>
    </border>
    <border>
      <left/>
      <right style="thin">
        <color theme="0"/>
      </right>
      <top style="thin">
        <color theme="0"/>
      </top>
      <bottom/>
      <diagonal/>
    </border>
    <border>
      <left style="thin">
        <color theme="0"/>
      </left>
      <right/>
      <top/>
      <bottom style="thin">
        <color theme="0"/>
      </bottom>
      <diagonal/>
    </border>
    <border>
      <left/>
      <right/>
      <top style="thin">
        <color auto="1"/>
      </top>
      <bottom/>
      <diagonal/>
    </border>
    <border>
      <left/>
      <right/>
      <top/>
      <bottom style="thin">
        <color theme="1"/>
      </bottom>
      <diagonal/>
    </border>
    <border>
      <left/>
      <right/>
      <top style="thin">
        <color theme="1"/>
      </top>
      <bottom/>
      <diagonal/>
    </border>
    <border>
      <left/>
      <right/>
      <top style="thin">
        <color theme="1"/>
      </top>
      <bottom style="thin">
        <color theme="1"/>
      </bottom>
      <diagonal/>
    </border>
    <border>
      <left/>
      <right/>
      <top style="thin">
        <color indexed="64"/>
      </top>
      <bottom style="thin">
        <color indexed="64"/>
      </bottom>
      <diagonal/>
    </border>
    <border>
      <left/>
      <right/>
      <top style="thin">
        <color indexed="64"/>
      </top>
      <bottom style="thin">
        <color theme="1"/>
      </bottom>
      <diagonal/>
    </border>
    <border>
      <left style="thin">
        <color indexed="64"/>
      </left>
      <right/>
      <top style="thin">
        <color indexed="64"/>
      </top>
      <bottom/>
      <diagonal/>
    </border>
    <border>
      <left style="thin">
        <color indexed="64"/>
      </left>
      <right/>
      <top/>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right style="thin">
        <color theme="1"/>
      </right>
      <top style="thin">
        <color auto="1"/>
      </top>
      <bottom style="thin">
        <color indexed="64"/>
      </bottom>
      <diagonal/>
    </border>
    <border>
      <left/>
      <right style="thin">
        <color theme="1"/>
      </right>
      <top style="thin">
        <color auto="1"/>
      </top>
      <bottom/>
      <diagonal/>
    </border>
    <border>
      <left/>
      <right style="thin">
        <color theme="1"/>
      </right>
      <top/>
      <bottom/>
      <diagonal/>
    </border>
    <border>
      <left/>
      <right style="thin">
        <color theme="1"/>
      </right>
      <top/>
      <bottom style="thin">
        <color indexed="64"/>
      </bottom>
      <diagonal/>
    </border>
    <border>
      <left/>
      <right style="thin">
        <color theme="1"/>
      </right>
      <top style="thin">
        <color theme="1"/>
      </top>
      <bottom style="thin">
        <color theme="1"/>
      </bottom>
      <diagonal/>
    </border>
    <border>
      <left/>
      <right style="thin">
        <color theme="1"/>
      </right>
      <top style="thin">
        <color theme="1"/>
      </top>
      <bottom/>
      <diagonal/>
    </border>
    <border>
      <left/>
      <right style="thin">
        <color theme="1"/>
      </right>
      <top/>
      <bottom style="thin">
        <color theme="1"/>
      </bottom>
      <diagonal/>
    </border>
    <border>
      <left style="thin">
        <color theme="1"/>
      </left>
      <right/>
      <top style="thin">
        <color theme="1"/>
      </top>
      <bottom style="thin">
        <color theme="1"/>
      </bottom>
      <diagonal/>
    </border>
    <border>
      <left/>
      <right style="thin">
        <color rgb="FFB2B2B2"/>
      </right>
      <top/>
      <bottom style="thin">
        <color theme="1"/>
      </bottom>
      <diagonal/>
    </border>
    <border>
      <left style="thin">
        <color rgb="FFB2B2B2"/>
      </left>
      <right style="thin">
        <color rgb="FFB2B2B2"/>
      </right>
      <top style="thin">
        <color rgb="FFB2B2B2"/>
      </top>
      <bottom style="thin">
        <color theme="1"/>
      </bottom>
      <diagonal/>
    </border>
    <border>
      <left/>
      <right/>
      <top style="thin">
        <color rgb="FFB2B2B2"/>
      </top>
      <bottom style="thin">
        <color theme="1"/>
      </bottom>
      <diagonal/>
    </border>
    <border>
      <left/>
      <right/>
      <top style="thin">
        <color theme="1"/>
      </top>
      <bottom style="double">
        <color theme="1"/>
      </bottom>
      <diagonal/>
    </border>
    <border>
      <left style="thin">
        <color theme="1"/>
      </left>
      <right/>
      <top style="thin">
        <color theme="1"/>
      </top>
      <bottom/>
      <diagonal/>
    </border>
    <border>
      <left style="thin">
        <color theme="1"/>
      </left>
      <right/>
      <top/>
      <bottom style="thin">
        <color theme="1"/>
      </bottom>
      <diagonal/>
    </border>
    <border>
      <left style="thin">
        <color theme="1"/>
      </left>
      <right/>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1"/>
      </top>
      <bottom style="thin">
        <color theme="0" tint="-0.24994659260841701"/>
      </bottom>
      <diagonal/>
    </border>
    <border>
      <left/>
      <right style="thin">
        <color indexed="64"/>
      </right>
      <top style="thin">
        <color indexed="64"/>
      </top>
      <bottom/>
      <diagonal/>
    </border>
    <border>
      <left/>
      <right style="thin">
        <color indexed="64"/>
      </right>
      <top/>
      <bottom style="thin">
        <color indexed="64"/>
      </bottom>
      <diagonal/>
    </border>
    <border>
      <left/>
      <right style="thin">
        <color rgb="FFB2B2B2"/>
      </right>
      <top/>
      <bottom style="thin">
        <color indexed="64"/>
      </bottom>
      <diagonal/>
    </border>
    <border>
      <left style="thin">
        <color rgb="FFB2B2B2"/>
      </left>
      <right style="thin">
        <color rgb="FFB2B2B2"/>
      </right>
      <top style="thin">
        <color rgb="FFB2B2B2"/>
      </top>
      <bottom style="thin">
        <color auto="1"/>
      </bottom>
      <diagonal/>
    </border>
    <border>
      <left/>
      <right/>
      <top style="thin">
        <color rgb="FF000000"/>
      </top>
      <bottom/>
      <diagonal/>
    </border>
    <border>
      <left/>
      <right style="thin">
        <color theme="0"/>
      </right>
      <top/>
      <bottom/>
      <diagonal/>
    </border>
    <border>
      <left style="thin">
        <color theme="0"/>
      </left>
      <right/>
      <top/>
      <bottom/>
      <diagonal/>
    </border>
    <border>
      <left style="thin">
        <color theme="1"/>
      </left>
      <right/>
      <top style="thin">
        <color theme="1"/>
      </top>
      <bottom style="double">
        <color theme="1"/>
      </bottom>
      <diagonal/>
    </border>
    <border>
      <left/>
      <right style="thin">
        <color theme="1"/>
      </right>
      <top style="thin">
        <color theme="1"/>
      </top>
      <bottom style="double">
        <color theme="1"/>
      </bottom>
      <diagonal/>
    </border>
    <border>
      <left style="thin">
        <color theme="1"/>
      </left>
      <right/>
      <top/>
      <bottom style="thin">
        <color indexed="64"/>
      </bottom>
      <diagonal/>
    </border>
    <border>
      <left style="thin">
        <color theme="1"/>
      </left>
      <right/>
      <top style="thin">
        <color indexed="64"/>
      </top>
      <bottom style="thin">
        <color theme="1"/>
      </bottom>
      <diagonal/>
    </border>
    <border>
      <left/>
      <right style="thin">
        <color indexed="64"/>
      </right>
      <top/>
      <bottom/>
      <diagonal/>
    </border>
    <border>
      <left/>
      <right style="thin">
        <color indexed="64"/>
      </right>
      <top style="thin">
        <color theme="1"/>
      </top>
      <bottom style="double">
        <color theme="1"/>
      </bottom>
      <diagonal/>
    </border>
    <border>
      <left/>
      <right/>
      <top style="thin">
        <color theme="0" tint="-0.14999847407452621"/>
      </top>
      <bottom style="thin">
        <color theme="0" tint="-0.14999847407452621"/>
      </bottom>
      <diagonal/>
    </border>
    <border>
      <left/>
      <right/>
      <top/>
      <bottom style="thin">
        <color theme="0" tint="-0.14999847407452621"/>
      </bottom>
      <diagonal/>
    </border>
  </borders>
  <cellStyleXfs count="6">
    <xf numFmtId="0" fontId="0" fillId="0" borderId="0"/>
    <xf numFmtId="43" fontId="1" fillId="0" borderId="0" applyFont="0" applyFill="0" applyBorder="0" applyAlignment="0" applyProtection="0"/>
    <xf numFmtId="9" fontId="1" fillId="0" borderId="0" applyFont="0" applyFill="0" applyBorder="0" applyAlignment="0" applyProtection="0"/>
    <xf numFmtId="0" fontId="1" fillId="2" borderId="1" applyNumberFormat="0" applyFont="0" applyAlignment="0" applyProtection="0"/>
    <xf numFmtId="0" fontId="28" fillId="0" borderId="0"/>
    <xf numFmtId="0" fontId="33" fillId="0" borderId="0"/>
  </cellStyleXfs>
  <cellXfs count="541">
    <xf numFmtId="0" fontId="0" fillId="0" borderId="0" xfId="0"/>
    <xf numFmtId="0" fontId="0" fillId="3" borderId="0" xfId="0" applyFill="1"/>
    <xf numFmtId="0" fontId="6" fillId="3" borderId="0" xfId="0" applyFont="1" applyFill="1"/>
    <xf numFmtId="0" fontId="6" fillId="3" borderId="0" xfId="0" applyFont="1" applyFill="1" applyAlignment="1">
      <alignment horizontal="center"/>
    </xf>
    <xf numFmtId="0" fontId="4" fillId="3" borderId="0" xfId="0" applyFont="1" applyFill="1" applyAlignment="1">
      <alignment horizontal="center"/>
    </xf>
    <xf numFmtId="0" fontId="1" fillId="0" borderId="0" xfId="0" applyFont="1"/>
    <xf numFmtId="0" fontId="7" fillId="3" borderId="0" xfId="0" applyFont="1" applyFill="1"/>
    <xf numFmtId="37" fontId="8" fillId="4" borderId="1" xfId="0" applyNumberFormat="1" applyFont="1" applyFill="1" applyBorder="1" applyAlignment="1">
      <alignment horizontal="center"/>
    </xf>
    <xf numFmtId="164" fontId="8" fillId="4" borderId="1" xfId="0" applyNumberFormat="1" applyFont="1" applyFill="1" applyBorder="1" applyAlignment="1">
      <alignment horizontal="center"/>
    </xf>
    <xf numFmtId="0" fontId="9" fillId="3" borderId="0" xfId="0" applyFont="1" applyFill="1"/>
    <xf numFmtId="0" fontId="6" fillId="3" borderId="3" xfId="0" applyFont="1" applyFill="1" applyBorder="1" applyAlignment="1">
      <alignment horizontal="center"/>
    </xf>
    <xf numFmtId="0" fontId="4" fillId="3" borderId="3" xfId="0" applyFont="1" applyFill="1" applyBorder="1"/>
    <xf numFmtId="0" fontId="4" fillId="3" borderId="4" xfId="0" applyFont="1" applyFill="1" applyBorder="1"/>
    <xf numFmtId="0" fontId="7" fillId="3" borderId="6" xfId="0" applyFont="1" applyFill="1" applyBorder="1"/>
    <xf numFmtId="0" fontId="7" fillId="3" borderId="3" xfId="0" applyFont="1" applyFill="1" applyBorder="1"/>
    <xf numFmtId="0" fontId="5" fillId="0" borderId="0" xfId="0" applyFont="1"/>
    <xf numFmtId="166" fontId="12" fillId="0" borderId="0" xfId="0" applyNumberFormat="1" applyFont="1"/>
    <xf numFmtId="0" fontId="0" fillId="0" borderId="0" xfId="0" applyAlignment="1">
      <alignment horizontal="left" indent="1"/>
    </xf>
    <xf numFmtId="0" fontId="3" fillId="0" borderId="7" xfId="0" applyFont="1" applyBorder="1"/>
    <xf numFmtId="0" fontId="1" fillId="0" borderId="0" xfId="0" applyFont="1" applyAlignment="1">
      <alignment horizontal="left" indent="1"/>
    </xf>
    <xf numFmtId="0" fontId="3" fillId="0" borderId="0" xfId="0" applyFont="1"/>
    <xf numFmtId="0" fontId="0" fillId="0" borderId="8" xfId="0" applyBorder="1"/>
    <xf numFmtId="168" fontId="0" fillId="0" borderId="0" xfId="0" applyNumberFormat="1"/>
    <xf numFmtId="49" fontId="15" fillId="0" borderId="0" xfId="0" applyNumberFormat="1" applyFont="1" applyAlignment="1">
      <alignment horizontal="left" indent="1"/>
    </xf>
    <xf numFmtId="0" fontId="1" fillId="0" borderId="0" xfId="0" applyFont="1" applyAlignment="1">
      <alignment horizontal="left" indent="2"/>
    </xf>
    <xf numFmtId="0" fontId="0" fillId="0" borderId="9" xfId="0" applyBorder="1"/>
    <xf numFmtId="0" fontId="16" fillId="0" borderId="0" xfId="0" applyFont="1" applyAlignment="1">
      <alignment horizontal="left" indent="1"/>
    </xf>
    <xf numFmtId="0" fontId="5" fillId="0" borderId="9" xfId="0" applyFont="1" applyBorder="1"/>
    <xf numFmtId="0" fontId="16" fillId="0" borderId="0" xfId="0" applyFont="1"/>
    <xf numFmtId="0" fontId="17" fillId="5" borderId="8" xfId="0" applyFont="1" applyFill="1" applyBorder="1"/>
    <xf numFmtId="0" fontId="18" fillId="5" borderId="8" xfId="0" applyFont="1" applyFill="1" applyBorder="1"/>
    <xf numFmtId="0" fontId="5" fillId="0" borderId="0" xfId="0" applyFont="1" applyAlignment="1">
      <alignment horizontal="left" indent="1"/>
    </xf>
    <xf numFmtId="0" fontId="5" fillId="0" borderId="0" xfId="0" applyFont="1" applyAlignment="1">
      <alignment horizontal="left"/>
    </xf>
    <xf numFmtId="41" fontId="14" fillId="0" borderId="0" xfId="0" applyNumberFormat="1" applyFont="1"/>
    <xf numFmtId="41" fontId="13" fillId="0" borderId="0" xfId="0" applyNumberFormat="1" applyFont="1"/>
    <xf numFmtId="41" fontId="5" fillId="0" borderId="0" xfId="0" applyNumberFormat="1" applyFont="1"/>
    <xf numFmtId="41" fontId="5" fillId="0" borderId="9" xfId="0" applyNumberFormat="1" applyFont="1" applyBorder="1"/>
    <xf numFmtId="41" fontId="0" fillId="0" borderId="0" xfId="0" applyNumberFormat="1"/>
    <xf numFmtId="0" fontId="0" fillId="5" borderId="8" xfId="0" applyFill="1" applyBorder="1"/>
    <xf numFmtId="0" fontId="0" fillId="5" borderId="8" xfId="0" applyFill="1" applyBorder="1" applyAlignment="1">
      <alignment horizontal="left" indent="1"/>
    </xf>
    <xf numFmtId="0" fontId="5" fillId="5" borderId="8" xfId="0" applyFont="1" applyFill="1" applyBorder="1"/>
    <xf numFmtId="0" fontId="16" fillId="0" borderId="0" xfId="0" applyFont="1" applyAlignment="1">
      <alignment horizontal="left"/>
    </xf>
    <xf numFmtId="41" fontId="16" fillId="0" borderId="0" xfId="0" applyNumberFormat="1" applyFont="1"/>
    <xf numFmtId="0" fontId="5" fillId="0" borderId="9" xfId="0" applyFont="1" applyBorder="1" applyAlignment="1">
      <alignment horizontal="left"/>
    </xf>
    <xf numFmtId="0" fontId="0" fillId="0" borderId="0" xfId="0" applyAlignment="1">
      <alignment horizontal="left"/>
    </xf>
    <xf numFmtId="165" fontId="7" fillId="3" borderId="0" xfId="0" applyNumberFormat="1" applyFont="1" applyFill="1" applyAlignment="1">
      <alignment horizontal="center"/>
    </xf>
    <xf numFmtId="165" fontId="7" fillId="3" borderId="5" xfId="0" applyNumberFormat="1" applyFont="1" applyFill="1" applyBorder="1" applyAlignment="1">
      <alignment horizontal="center"/>
    </xf>
    <xf numFmtId="0" fontId="9" fillId="3" borderId="0" xfId="0" applyFont="1" applyFill="1" applyAlignment="1">
      <alignment horizontal="center"/>
    </xf>
    <xf numFmtId="0" fontId="10" fillId="0" borderId="0" xfId="0" applyFont="1" applyAlignment="1">
      <alignment horizontal="center"/>
    </xf>
    <xf numFmtId="0" fontId="19" fillId="0" borderId="0" xfId="0" applyFont="1" applyAlignment="1">
      <alignment horizontal="center"/>
    </xf>
    <xf numFmtId="0" fontId="10" fillId="0" borderId="9" xfId="0" applyFont="1" applyBorder="1" applyAlignment="1">
      <alignment horizontal="center"/>
    </xf>
    <xf numFmtId="0" fontId="0" fillId="0" borderId="0" xfId="0" applyAlignment="1">
      <alignment horizontal="center"/>
    </xf>
    <xf numFmtId="0" fontId="3" fillId="6" borderId="2" xfId="0" applyFont="1" applyFill="1" applyBorder="1"/>
    <xf numFmtId="0" fontId="21" fillId="0" borderId="0" xfId="0" applyFont="1" applyAlignment="1">
      <alignment horizontal="center"/>
    </xf>
    <xf numFmtId="0" fontId="22" fillId="0" borderId="0" xfId="0" applyFont="1" applyAlignment="1">
      <alignment horizontal="center"/>
    </xf>
    <xf numFmtId="0" fontId="24" fillId="0" borderId="9" xfId="0" applyFont="1" applyBorder="1" applyAlignment="1">
      <alignment horizontal="center"/>
    </xf>
    <xf numFmtId="9" fontId="12" fillId="0" borderId="0" xfId="2" applyFont="1"/>
    <xf numFmtId="170" fontId="0" fillId="0" borderId="0" xfId="0" applyNumberFormat="1"/>
    <xf numFmtId="10" fontId="0" fillId="0" borderId="0" xfId="0" applyNumberFormat="1"/>
    <xf numFmtId="43" fontId="0" fillId="0" borderId="0" xfId="0" applyNumberFormat="1"/>
    <xf numFmtId="170" fontId="16" fillId="0" borderId="0" xfId="2" applyNumberFormat="1" applyFont="1"/>
    <xf numFmtId="9" fontId="0" fillId="0" borderId="0" xfId="2" applyFont="1"/>
    <xf numFmtId="170" fontId="0" fillId="0" borderId="0" xfId="2" applyNumberFormat="1" applyFont="1"/>
    <xf numFmtId="0" fontId="25" fillId="0" borderId="0" xfId="0" applyFont="1"/>
    <xf numFmtId="10" fontId="0" fillId="0" borderId="0" xfId="2" applyNumberFormat="1" applyFont="1"/>
    <xf numFmtId="0" fontId="8" fillId="0" borderId="0" xfId="0" applyFont="1"/>
    <xf numFmtId="10" fontId="8" fillId="4" borderId="1" xfId="0" applyNumberFormat="1" applyFont="1" applyFill="1" applyBorder="1" applyAlignment="1">
      <alignment horizontal="right"/>
    </xf>
    <xf numFmtId="170" fontId="8" fillId="4" borderId="1" xfId="0" applyNumberFormat="1" applyFont="1" applyFill="1" applyBorder="1" applyAlignment="1">
      <alignment horizontal="right"/>
    </xf>
    <xf numFmtId="41" fontId="16" fillId="0" borderId="0" xfId="0" applyNumberFormat="1" applyFont="1" applyAlignment="1">
      <alignment horizontal="right"/>
    </xf>
    <xf numFmtId="10" fontId="0" fillId="4" borderId="1" xfId="0" applyNumberFormat="1" applyFill="1" applyBorder="1" applyAlignment="1">
      <alignment horizontal="right"/>
    </xf>
    <xf numFmtId="41" fontId="8" fillId="0" borderId="0" xfId="0" applyNumberFormat="1" applyFont="1"/>
    <xf numFmtId="167" fontId="0" fillId="0" borderId="0" xfId="0" applyNumberFormat="1"/>
    <xf numFmtId="10" fontId="1" fillId="0" borderId="0" xfId="2" applyNumberFormat="1" applyFont="1"/>
    <xf numFmtId="9" fontId="0" fillId="4" borderId="1" xfId="0" applyNumberFormat="1" applyFill="1" applyBorder="1" applyAlignment="1">
      <alignment horizontal="right"/>
    </xf>
    <xf numFmtId="10" fontId="16" fillId="0" borderId="0" xfId="2" applyNumberFormat="1" applyFont="1"/>
    <xf numFmtId="0" fontId="15" fillId="0" borderId="0" xfId="0" applyFont="1" applyAlignment="1">
      <alignment horizontal="left"/>
    </xf>
    <xf numFmtId="0" fontId="26" fillId="0" borderId="0" xfId="0" applyFont="1" applyAlignment="1">
      <alignment horizontal="center"/>
    </xf>
    <xf numFmtId="172" fontId="0" fillId="0" borderId="0" xfId="0" applyNumberFormat="1"/>
    <xf numFmtId="171" fontId="0" fillId="4" borderId="1" xfId="0" applyNumberFormat="1" applyFill="1" applyBorder="1" applyAlignment="1">
      <alignment horizontal="right"/>
    </xf>
    <xf numFmtId="9" fontId="8" fillId="4" borderId="1" xfId="2" applyFont="1" applyFill="1" applyBorder="1" applyAlignment="1">
      <alignment horizontal="right"/>
    </xf>
    <xf numFmtId="41" fontId="0" fillId="4" borderId="1" xfId="0" applyNumberFormat="1" applyFill="1" applyBorder="1" applyAlignment="1">
      <alignment horizontal="right"/>
    </xf>
    <xf numFmtId="170" fontId="8" fillId="0" borderId="0" xfId="2" applyNumberFormat="1" applyFont="1"/>
    <xf numFmtId="170" fontId="8" fillId="4" borderId="1" xfId="2" applyNumberFormat="1" applyFont="1" applyFill="1" applyBorder="1" applyAlignment="1">
      <alignment horizontal="right"/>
    </xf>
    <xf numFmtId="0" fontId="7" fillId="3" borderId="0" xfId="0" applyFont="1" applyFill="1" applyAlignment="1">
      <alignment horizontal="center"/>
    </xf>
    <xf numFmtId="175" fontId="8" fillId="0" borderId="0" xfId="0" applyNumberFormat="1" applyFont="1"/>
    <xf numFmtId="0" fontId="29" fillId="0" borderId="13" xfId="4" applyFont="1" applyBorder="1"/>
    <xf numFmtId="0" fontId="29" fillId="0" borderId="14" xfId="4" applyFont="1" applyBorder="1"/>
    <xf numFmtId="0" fontId="29" fillId="0" borderId="16" xfId="4" applyFont="1" applyBorder="1"/>
    <xf numFmtId="43" fontId="29" fillId="0" borderId="0" xfId="4" applyNumberFormat="1" applyFont="1"/>
    <xf numFmtId="43" fontId="29" fillId="0" borderId="2" xfId="4" applyNumberFormat="1" applyFont="1" applyBorder="1"/>
    <xf numFmtId="43" fontId="29" fillId="0" borderId="7" xfId="4" applyNumberFormat="1" applyFont="1" applyBorder="1"/>
    <xf numFmtId="0" fontId="29" fillId="0" borderId="7" xfId="4" applyFont="1" applyBorder="1"/>
    <xf numFmtId="0" fontId="29" fillId="0" borderId="0" xfId="4" applyFont="1"/>
    <xf numFmtId="0" fontId="20" fillId="0" borderId="0" xfId="4" applyFont="1"/>
    <xf numFmtId="0" fontId="20" fillId="0" borderId="2" xfId="4" applyFont="1" applyBorder="1"/>
    <xf numFmtId="168" fontId="29" fillId="0" borderId="7" xfId="4" applyNumberFormat="1" applyFont="1" applyBorder="1"/>
    <xf numFmtId="168" fontId="29" fillId="0" borderId="0" xfId="4" applyNumberFormat="1" applyFont="1"/>
    <xf numFmtId="168" fontId="29" fillId="0" borderId="2" xfId="4" applyNumberFormat="1" applyFont="1" applyBorder="1"/>
    <xf numFmtId="10" fontId="29" fillId="0" borderId="7" xfId="2" applyNumberFormat="1" applyFont="1" applyBorder="1"/>
    <xf numFmtId="10" fontId="29" fillId="0" borderId="0" xfId="2" applyNumberFormat="1" applyFont="1"/>
    <xf numFmtId="10" fontId="29" fillId="0" borderId="2" xfId="2" applyNumberFormat="1" applyFont="1" applyBorder="1"/>
    <xf numFmtId="10" fontId="29" fillId="0" borderId="18" xfId="2" applyNumberFormat="1" applyFont="1" applyBorder="1"/>
    <xf numFmtId="10" fontId="29" fillId="0" borderId="19" xfId="2" applyNumberFormat="1" applyFont="1" applyBorder="1"/>
    <xf numFmtId="10" fontId="29" fillId="0" borderId="20" xfId="2" applyNumberFormat="1" applyFont="1" applyBorder="1"/>
    <xf numFmtId="0" fontId="3" fillId="7" borderId="15" xfId="4" applyFont="1" applyFill="1" applyBorder="1"/>
    <xf numFmtId="0" fontId="20" fillId="7" borderId="11" xfId="4" applyFont="1" applyFill="1" applyBorder="1"/>
    <xf numFmtId="43" fontId="20" fillId="7" borderId="11" xfId="4" applyNumberFormat="1" applyFont="1" applyFill="1" applyBorder="1"/>
    <xf numFmtId="168" fontId="20" fillId="7" borderId="11" xfId="4" applyNumberFormat="1" applyFont="1" applyFill="1" applyBorder="1"/>
    <xf numFmtId="10" fontId="20" fillId="7" borderId="11" xfId="2" applyNumberFormat="1" applyFont="1" applyFill="1" applyBorder="1"/>
    <xf numFmtId="10" fontId="20" fillId="7" borderId="17" xfId="2" applyNumberFormat="1" applyFont="1" applyFill="1" applyBorder="1"/>
    <xf numFmtId="176" fontId="29" fillId="0" borderId="0" xfId="4" applyNumberFormat="1" applyFont="1"/>
    <xf numFmtId="176" fontId="29" fillId="0" borderId="9" xfId="4" applyNumberFormat="1" applyFont="1" applyBorder="1"/>
    <xf numFmtId="176" fontId="29" fillId="0" borderId="8" xfId="4" applyNumberFormat="1" applyFont="1" applyBorder="1"/>
    <xf numFmtId="176" fontId="29" fillId="7" borderId="10" xfId="4" applyNumberFormat="1" applyFont="1" applyFill="1" applyBorder="1"/>
    <xf numFmtId="176" fontId="29" fillId="0" borderId="22" xfId="4" applyNumberFormat="1" applyFont="1" applyBorder="1"/>
    <xf numFmtId="176" fontId="29" fillId="0" borderId="19" xfId="4" applyNumberFormat="1" applyFont="1" applyBorder="1"/>
    <xf numFmtId="176" fontId="29" fillId="7" borderId="21" xfId="4" applyNumberFormat="1" applyFont="1" applyFill="1" applyBorder="1"/>
    <xf numFmtId="176" fontId="29" fillId="0" borderId="23" xfId="4" applyNumberFormat="1" applyFont="1" applyBorder="1"/>
    <xf numFmtId="176" fontId="29" fillId="0" borderId="0" xfId="4" applyNumberFormat="1" applyFont="1" applyAlignment="1">
      <alignment horizontal="right"/>
    </xf>
    <xf numFmtId="0" fontId="31" fillId="0" borderId="0" xfId="0" applyFont="1"/>
    <xf numFmtId="0" fontId="0" fillId="0" borderId="8" xfId="0" applyBorder="1" applyAlignment="1">
      <alignment horizontal="left" indent="1"/>
    </xf>
    <xf numFmtId="0" fontId="19" fillId="0" borderId="8" xfId="0" applyFont="1" applyBorder="1" applyAlignment="1">
      <alignment horizontal="center"/>
    </xf>
    <xf numFmtId="41" fontId="0" fillId="0" borderId="8" xfId="0" applyNumberFormat="1" applyBorder="1"/>
    <xf numFmtId="0" fontId="16" fillId="0" borderId="8" xfId="0" applyFont="1" applyBorder="1" applyAlignment="1">
      <alignment horizontal="left" indent="1"/>
    </xf>
    <xf numFmtId="41" fontId="14" fillId="0" borderId="8" xfId="0" applyNumberFormat="1" applyFont="1" applyBorder="1"/>
    <xf numFmtId="43" fontId="0" fillId="0" borderId="8" xfId="0" applyNumberFormat="1" applyBorder="1"/>
    <xf numFmtId="10" fontId="0" fillId="4" borderId="26" xfId="0" applyNumberFormat="1" applyFill="1" applyBorder="1" applyAlignment="1">
      <alignment horizontal="right"/>
    </xf>
    <xf numFmtId="41" fontId="0" fillId="0" borderId="27" xfId="0" applyNumberFormat="1" applyBorder="1"/>
    <xf numFmtId="0" fontId="5" fillId="0" borderId="28" xfId="0" applyFont="1" applyBorder="1"/>
    <xf numFmtId="0" fontId="10" fillId="0" borderId="28" xfId="0" applyFont="1" applyBorder="1" applyAlignment="1">
      <alignment horizontal="center"/>
    </xf>
    <xf numFmtId="41" fontId="5" fillId="0" borderId="28" xfId="0" applyNumberFormat="1" applyFont="1" applyBorder="1"/>
    <xf numFmtId="0" fontId="5" fillId="0" borderId="28" xfId="0" applyFont="1" applyBorder="1" applyAlignment="1">
      <alignment horizontal="left"/>
    </xf>
    <xf numFmtId="0" fontId="18" fillId="5" borderId="29" xfId="0" applyFont="1" applyFill="1" applyBorder="1"/>
    <xf numFmtId="0" fontId="18" fillId="5" borderId="30" xfId="0" applyFont="1" applyFill="1" applyBorder="1"/>
    <xf numFmtId="0" fontId="18" fillId="5" borderId="9" xfId="0" applyFont="1" applyFill="1" applyBorder="1" applyAlignment="1">
      <alignment horizontal="center"/>
    </xf>
    <xf numFmtId="0" fontId="18" fillId="5" borderId="22" xfId="0" applyFont="1" applyFill="1" applyBorder="1" applyAlignment="1">
      <alignment horizontal="center"/>
    </xf>
    <xf numFmtId="0" fontId="18" fillId="5" borderId="8" xfId="0" applyFont="1" applyFill="1" applyBorder="1" applyAlignment="1">
      <alignment horizontal="center"/>
    </xf>
    <xf numFmtId="0" fontId="18" fillId="5" borderId="23" xfId="0" applyFont="1" applyFill="1" applyBorder="1" applyAlignment="1">
      <alignment horizontal="center"/>
    </xf>
    <xf numFmtId="0" fontId="0" fillId="0" borderId="31" xfId="0" applyBorder="1"/>
    <xf numFmtId="177" fontId="1" fillId="0" borderId="0" xfId="0" applyNumberFormat="1" applyFont="1" applyAlignment="1">
      <alignment horizontal="center"/>
    </xf>
    <xf numFmtId="2" fontId="1" fillId="0" borderId="0" xfId="0" applyNumberFormat="1" applyFont="1" applyAlignment="1">
      <alignment horizontal="center"/>
    </xf>
    <xf numFmtId="2" fontId="0" fillId="0" borderId="0" xfId="0" applyNumberFormat="1" applyAlignment="1">
      <alignment horizontal="center"/>
    </xf>
    <xf numFmtId="41" fontId="8" fillId="0" borderId="0" xfId="0" applyNumberFormat="1" applyFont="1" applyAlignment="1">
      <alignment horizontal="center"/>
    </xf>
    <xf numFmtId="170" fontId="0" fillId="0" borderId="0" xfId="2" applyNumberFormat="1" applyFont="1" applyAlignment="1">
      <alignment horizontal="center"/>
    </xf>
    <xf numFmtId="41" fontId="0" fillId="0" borderId="0" xfId="0" applyNumberFormat="1" applyAlignment="1">
      <alignment horizontal="center"/>
    </xf>
    <xf numFmtId="9" fontId="0" fillId="0" borderId="0" xfId="2" applyFont="1" applyAlignment="1">
      <alignment horizontal="center"/>
    </xf>
    <xf numFmtId="168" fontId="20" fillId="7" borderId="11" xfId="4" applyNumberFormat="1" applyFont="1" applyFill="1" applyBorder="1" applyAlignment="1">
      <alignment horizontal="center"/>
    </xf>
    <xf numFmtId="170" fontId="20" fillId="7" borderId="11" xfId="2" applyNumberFormat="1" applyFont="1" applyFill="1" applyBorder="1" applyAlignment="1">
      <alignment horizontal="center"/>
    </xf>
    <xf numFmtId="9" fontId="20" fillId="7" borderId="11" xfId="2" applyFont="1" applyFill="1" applyBorder="1" applyAlignment="1">
      <alignment horizontal="center"/>
    </xf>
    <xf numFmtId="41" fontId="20" fillId="7" borderId="11" xfId="2" applyNumberFormat="1" applyFont="1" applyFill="1" applyBorder="1" applyAlignment="1">
      <alignment horizontal="center"/>
    </xf>
    <xf numFmtId="2" fontId="20" fillId="7" borderId="17" xfId="1" applyNumberFormat="1" applyFont="1" applyFill="1" applyBorder="1" applyAlignment="1">
      <alignment horizontal="center"/>
    </xf>
    <xf numFmtId="2" fontId="20" fillId="7" borderId="11" xfId="4" applyNumberFormat="1" applyFont="1" applyFill="1" applyBorder="1" applyAlignment="1">
      <alignment horizontal="center"/>
    </xf>
    <xf numFmtId="170" fontId="0" fillId="0" borderId="0" xfId="0" applyNumberFormat="1" applyAlignment="1">
      <alignment horizontal="center"/>
    </xf>
    <xf numFmtId="178" fontId="8" fillId="4" borderId="32" xfId="0" applyNumberFormat="1" applyFont="1" applyFill="1" applyBorder="1" applyAlignment="1">
      <alignment horizontal="center"/>
    </xf>
    <xf numFmtId="178" fontId="8" fillId="4" borderId="33" xfId="0" applyNumberFormat="1" applyFont="1" applyFill="1" applyBorder="1" applyAlignment="1">
      <alignment horizontal="center"/>
    </xf>
    <xf numFmtId="0" fontId="5" fillId="8" borderId="29" xfId="0" applyFont="1" applyFill="1" applyBorder="1"/>
    <xf numFmtId="0" fontId="0" fillId="8" borderId="9" xfId="0" applyFill="1" applyBorder="1"/>
    <xf numFmtId="0" fontId="5" fillId="8" borderId="31" xfId="0" applyFont="1" applyFill="1" applyBorder="1"/>
    <xf numFmtId="0" fontId="0" fillId="8" borderId="0" xfId="0" applyFill="1"/>
    <xf numFmtId="0" fontId="5" fillId="8" borderId="30" xfId="0" applyFont="1" applyFill="1" applyBorder="1"/>
    <xf numFmtId="0" fontId="0" fillId="8" borderId="8" xfId="0" applyFill="1" applyBorder="1"/>
    <xf numFmtId="10" fontId="0" fillId="8" borderId="22" xfId="0" applyNumberFormat="1" applyFill="1" applyBorder="1"/>
    <xf numFmtId="10" fontId="0" fillId="8" borderId="19" xfId="0" applyNumberFormat="1" applyFill="1" applyBorder="1"/>
    <xf numFmtId="10" fontId="0" fillId="8" borderId="23" xfId="0" applyNumberFormat="1" applyFill="1" applyBorder="1"/>
    <xf numFmtId="0" fontId="5" fillId="0" borderId="29" xfId="0" applyFont="1" applyBorder="1"/>
    <xf numFmtId="10" fontId="0" fillId="0" borderId="22" xfId="0" applyNumberFormat="1" applyBorder="1"/>
    <xf numFmtId="0" fontId="5" fillId="0" borderId="31" xfId="0" applyFont="1" applyBorder="1"/>
    <xf numFmtId="10" fontId="0" fillId="0" borderId="19" xfId="0" applyNumberFormat="1" applyBorder="1"/>
    <xf numFmtId="0" fontId="5" fillId="0" borderId="30" xfId="0" applyFont="1" applyBorder="1"/>
    <xf numFmtId="10" fontId="0" fillId="0" borderId="23" xfId="0" applyNumberFormat="1" applyBorder="1"/>
    <xf numFmtId="180" fontId="1" fillId="0" borderId="0" xfId="0" applyNumberFormat="1" applyFont="1"/>
    <xf numFmtId="0" fontId="29" fillId="0" borderId="0" xfId="4" applyFont="1" applyAlignment="1">
      <alignment horizontal="left" indent="1"/>
    </xf>
    <xf numFmtId="171" fontId="1" fillId="0" borderId="0" xfId="0" applyNumberFormat="1" applyFont="1"/>
    <xf numFmtId="0" fontId="34" fillId="0" borderId="0" xfId="4" applyFont="1" applyAlignment="1">
      <alignment horizontal="left"/>
    </xf>
    <xf numFmtId="0" fontId="20" fillId="7" borderId="29" xfId="4" applyFont="1" applyFill="1" applyBorder="1" applyAlignment="1">
      <alignment horizontal="left"/>
    </xf>
    <xf numFmtId="0" fontId="20" fillId="7" borderId="9" xfId="4" applyFont="1" applyFill="1" applyBorder="1" applyAlignment="1">
      <alignment horizontal="left"/>
    </xf>
    <xf numFmtId="0" fontId="20" fillId="7" borderId="30" xfId="4" applyFont="1" applyFill="1" applyBorder="1" applyAlignment="1">
      <alignment horizontal="left"/>
    </xf>
    <xf numFmtId="0" fontId="20" fillId="7" borderId="8" xfId="4" applyFont="1" applyFill="1" applyBorder="1" applyAlignment="1">
      <alignment horizontal="left"/>
    </xf>
    <xf numFmtId="0" fontId="34" fillId="0" borderId="0" xfId="4" applyFont="1" applyAlignment="1">
      <alignment horizontal="center"/>
    </xf>
    <xf numFmtId="170" fontId="20" fillId="7" borderId="23" xfId="2" applyNumberFormat="1" applyFont="1" applyFill="1" applyBorder="1" applyAlignment="1">
      <alignment horizontal="right"/>
    </xf>
    <xf numFmtId="0" fontId="1" fillId="0" borderId="0" xfId="5" applyFont="1"/>
    <xf numFmtId="0" fontId="32" fillId="0" borderId="0" xfId="0" applyFont="1"/>
    <xf numFmtId="41" fontId="32" fillId="0" borderId="0" xfId="0" applyNumberFormat="1" applyFont="1" applyAlignment="1">
      <alignment horizontal="center"/>
    </xf>
    <xf numFmtId="43" fontId="30" fillId="0" borderId="0" xfId="4" applyNumberFormat="1" applyFont="1"/>
    <xf numFmtId="173" fontId="32" fillId="4" borderId="1" xfId="0" applyNumberFormat="1" applyFont="1" applyFill="1" applyBorder="1" applyAlignment="1">
      <alignment horizontal="right"/>
    </xf>
    <xf numFmtId="41" fontId="36" fillId="0" borderId="0" xfId="0" applyNumberFormat="1" applyFont="1"/>
    <xf numFmtId="41" fontId="37" fillId="0" borderId="0" xfId="0" applyNumberFormat="1" applyFont="1"/>
    <xf numFmtId="41" fontId="32" fillId="0" borderId="0" xfId="0" applyNumberFormat="1" applyFont="1"/>
    <xf numFmtId="168" fontId="32" fillId="0" borderId="0" xfId="0" applyNumberFormat="1" applyFont="1"/>
    <xf numFmtId="170" fontId="32" fillId="0" borderId="0" xfId="2" applyNumberFormat="1" applyFont="1" applyAlignment="1">
      <alignment horizontal="center"/>
    </xf>
    <xf numFmtId="170" fontId="32" fillId="0" borderId="0" xfId="2" applyNumberFormat="1" applyFont="1"/>
    <xf numFmtId="9" fontId="8" fillId="0" borderId="0" xfId="2" applyFont="1" applyAlignment="1">
      <alignment horizontal="center"/>
    </xf>
    <xf numFmtId="9" fontId="1" fillId="0" borderId="0" xfId="2" applyFont="1" applyAlignment="1">
      <alignment horizontal="center"/>
    </xf>
    <xf numFmtId="174" fontId="0" fillId="4" borderId="1" xfId="0" applyNumberFormat="1" applyFill="1" applyBorder="1" applyAlignment="1">
      <alignment horizontal="right"/>
    </xf>
    <xf numFmtId="10" fontId="16" fillId="0" borderId="8" xfId="2" applyNumberFormat="1" applyFont="1" applyBorder="1"/>
    <xf numFmtId="10" fontId="16" fillId="0" borderId="25" xfId="2" applyNumberFormat="1" applyFont="1" applyBorder="1"/>
    <xf numFmtId="43" fontId="0" fillId="0" borderId="31" xfId="0" applyNumberFormat="1" applyBorder="1"/>
    <xf numFmtId="43" fontId="0" fillId="0" borderId="29" xfId="0" applyNumberFormat="1" applyBorder="1"/>
    <xf numFmtId="43" fontId="0" fillId="0" borderId="9" xfId="0" applyNumberFormat="1" applyBorder="1"/>
    <xf numFmtId="0" fontId="39" fillId="3" borderId="0" xfId="0" applyFont="1" applyFill="1"/>
    <xf numFmtId="0" fontId="7" fillId="3" borderId="0" xfId="0" applyFont="1" applyFill="1" applyAlignment="1">
      <alignment horizontal="centerContinuous"/>
    </xf>
    <xf numFmtId="0" fontId="39" fillId="3" borderId="0" xfId="0" applyFont="1" applyFill="1" applyAlignment="1">
      <alignment horizontal="centerContinuous"/>
    </xf>
    <xf numFmtId="0" fontId="39" fillId="3" borderId="0" xfId="0" applyFont="1" applyFill="1" applyAlignment="1">
      <alignment vertical="center"/>
    </xf>
    <xf numFmtId="0" fontId="7" fillId="3" borderId="0" xfId="0" applyFont="1" applyFill="1" applyAlignment="1">
      <alignment horizontal="center" vertical="center" wrapText="1"/>
    </xf>
    <xf numFmtId="43" fontId="16" fillId="0" borderId="31" xfId="0" applyNumberFormat="1" applyFont="1" applyBorder="1"/>
    <xf numFmtId="43" fontId="16" fillId="0" borderId="0" xfId="0" applyNumberFormat="1" applyFont="1"/>
    <xf numFmtId="0" fontId="11" fillId="3" borderId="0" xfId="0" applyFont="1" applyFill="1" applyAlignment="1">
      <alignment horizontal="center"/>
    </xf>
    <xf numFmtId="179" fontId="40" fillId="4" borderId="1" xfId="3" applyNumberFormat="1" applyFont="1" applyFill="1" applyAlignment="1">
      <alignment horizontal="center"/>
    </xf>
    <xf numFmtId="41" fontId="40" fillId="4" borderId="1" xfId="3" applyNumberFormat="1" applyFont="1" applyFill="1" applyAlignment="1"/>
    <xf numFmtId="0" fontId="8" fillId="4" borderId="1" xfId="3" applyFont="1" applyFill="1" applyAlignment="1">
      <alignment horizontal="centerContinuous"/>
    </xf>
    <xf numFmtId="165" fontId="8" fillId="0" borderId="0" xfId="0" applyNumberFormat="1" applyFont="1" applyAlignment="1">
      <alignment horizontal="center"/>
    </xf>
    <xf numFmtId="176" fontId="8" fillId="4" borderId="1" xfId="0" applyNumberFormat="1" applyFont="1" applyFill="1" applyBorder="1" applyAlignment="1">
      <alignment horizontal="center"/>
    </xf>
    <xf numFmtId="0" fontId="1" fillId="0" borderId="2" xfId="0" applyFont="1" applyBorder="1" applyAlignment="1">
      <alignment horizontal="left" indent="1"/>
    </xf>
    <xf numFmtId="0" fontId="1" fillId="0" borderId="2" xfId="0" applyFont="1" applyBorder="1"/>
    <xf numFmtId="0" fontId="21" fillId="0" borderId="36" xfId="0" applyFont="1" applyBorder="1" applyAlignment="1">
      <alignment horizontal="center"/>
    </xf>
    <xf numFmtId="176" fontId="8" fillId="4" borderId="37" xfId="0" applyNumberFormat="1" applyFont="1" applyFill="1" applyBorder="1" applyAlignment="1">
      <alignment horizontal="center"/>
    </xf>
    <xf numFmtId="176" fontId="3" fillId="0" borderId="0" xfId="0" applyNumberFormat="1" applyFont="1" applyAlignment="1">
      <alignment horizontal="center"/>
    </xf>
    <xf numFmtId="179" fontId="41" fillId="4" borderId="1" xfId="3" applyNumberFormat="1" applyFont="1" applyFill="1" applyAlignment="1">
      <alignment horizontal="center"/>
    </xf>
    <xf numFmtId="179" fontId="25" fillId="0" borderId="38" xfId="3" applyNumberFormat="1" applyFont="1" applyFill="1" applyBorder="1" applyAlignment="1">
      <alignment horizontal="center"/>
    </xf>
    <xf numFmtId="176" fontId="29" fillId="0" borderId="7" xfId="0" applyNumberFormat="1" applyFont="1" applyBorder="1" applyAlignment="1">
      <alignment horizontal="center"/>
    </xf>
    <xf numFmtId="176" fontId="29" fillId="0" borderId="0" xfId="0" applyNumberFormat="1" applyFont="1" applyAlignment="1">
      <alignment horizontal="center"/>
    </xf>
    <xf numFmtId="171" fontId="29" fillId="0" borderId="0" xfId="0" applyNumberFormat="1" applyFont="1"/>
    <xf numFmtId="179" fontId="25" fillId="0" borderId="0" xfId="3" applyNumberFormat="1" applyFont="1" applyFill="1" applyBorder="1" applyAlignment="1">
      <alignment horizontal="center"/>
    </xf>
    <xf numFmtId="0" fontId="3" fillId="0" borderId="7" xfId="0" applyFont="1" applyBorder="1" applyAlignment="1">
      <alignment horizontal="left"/>
    </xf>
    <xf numFmtId="0" fontId="1" fillId="0" borderId="7" xfId="0" applyFont="1" applyBorder="1"/>
    <xf numFmtId="180" fontId="3" fillId="0" borderId="7" xfId="0" applyNumberFormat="1" applyFont="1" applyBorder="1"/>
    <xf numFmtId="176" fontId="20" fillId="0" borderId="7" xfId="0" applyNumberFormat="1" applyFont="1" applyBorder="1" applyAlignment="1">
      <alignment horizontal="center"/>
    </xf>
    <xf numFmtId="0" fontId="3" fillId="0" borderId="0" xfId="0" applyFont="1" applyAlignment="1">
      <alignment horizontal="left"/>
    </xf>
    <xf numFmtId="180" fontId="3" fillId="0" borderId="0" xfId="0" applyNumberFormat="1" applyFont="1"/>
    <xf numFmtId="176" fontId="20" fillId="0" borderId="0" xfId="0" applyNumberFormat="1" applyFont="1"/>
    <xf numFmtId="171" fontId="1" fillId="0" borderId="2" xfId="3" applyNumberFormat="1" applyFont="1" applyFill="1" applyBorder="1"/>
    <xf numFmtId="176" fontId="3" fillId="0" borderId="7" xfId="0" applyNumberFormat="1" applyFont="1" applyBorder="1" applyAlignment="1">
      <alignment horizontal="center"/>
    </xf>
    <xf numFmtId="43" fontId="1" fillId="0" borderId="0" xfId="0" applyNumberFormat="1" applyFont="1"/>
    <xf numFmtId="179" fontId="3" fillId="0" borderId="9" xfId="0" applyNumberFormat="1" applyFont="1" applyBorder="1" applyAlignment="1">
      <alignment horizontal="center"/>
    </xf>
    <xf numFmtId="181" fontId="25" fillId="0" borderId="7" xfId="3" applyNumberFormat="1" applyFont="1" applyFill="1" applyBorder="1"/>
    <xf numFmtId="181" fontId="25" fillId="0" borderId="0" xfId="3" applyNumberFormat="1" applyFont="1" applyFill="1" applyBorder="1"/>
    <xf numFmtId="181" fontId="3" fillId="0" borderId="9" xfId="0" applyNumberFormat="1" applyFont="1" applyBorder="1"/>
    <xf numFmtId="174" fontId="1" fillId="0" borderId="0" xfId="0" applyNumberFormat="1" applyFont="1"/>
    <xf numFmtId="0" fontId="4" fillId="3" borderId="3" xfId="0" applyFont="1" applyFill="1" applyBorder="1" applyAlignment="1">
      <alignment horizontal="centerContinuous"/>
    </xf>
    <xf numFmtId="174" fontId="1" fillId="0" borderId="19" xfId="0" applyNumberFormat="1" applyFont="1" applyBorder="1"/>
    <xf numFmtId="174" fontId="5" fillId="0" borderId="0" xfId="0" applyNumberFormat="1" applyFont="1"/>
    <xf numFmtId="174" fontId="5" fillId="0" borderId="19" xfId="0" applyNumberFormat="1" applyFont="1" applyBorder="1"/>
    <xf numFmtId="174" fontId="5" fillId="0" borderId="22" xfId="0" applyNumberFormat="1" applyFont="1" applyBorder="1"/>
    <xf numFmtId="0" fontId="0" fillId="0" borderId="19" xfId="0" applyBorder="1"/>
    <xf numFmtId="174" fontId="5" fillId="0" borderId="29" xfId="0" applyNumberFormat="1" applyFont="1" applyBorder="1"/>
    <xf numFmtId="174" fontId="0" fillId="0" borderId="0" xfId="0" applyNumberFormat="1"/>
    <xf numFmtId="174" fontId="32" fillId="0" borderId="0" xfId="0" applyNumberFormat="1" applyFont="1"/>
    <xf numFmtId="0" fontId="0" fillId="0" borderId="29" xfId="0" applyBorder="1"/>
    <xf numFmtId="174" fontId="5" fillId="0" borderId="31" xfId="0" applyNumberFormat="1" applyFont="1" applyBorder="1"/>
    <xf numFmtId="174" fontId="1" fillId="0" borderId="31" xfId="0" applyNumberFormat="1" applyFont="1" applyBorder="1"/>
    <xf numFmtId="0" fontId="0" fillId="0" borderId="22" xfId="0" applyBorder="1"/>
    <xf numFmtId="174" fontId="0" fillId="0" borderId="31" xfId="0" applyNumberFormat="1" applyBorder="1"/>
    <xf numFmtId="174" fontId="36" fillId="0" borderId="0" xfId="0" applyNumberFormat="1" applyFont="1"/>
    <xf numFmtId="174" fontId="37" fillId="0" borderId="0" xfId="0" applyNumberFormat="1" applyFont="1"/>
    <xf numFmtId="174" fontId="5" fillId="0" borderId="9" xfId="0" applyNumberFormat="1" applyFont="1" applyBorder="1"/>
    <xf numFmtId="174" fontId="5" fillId="0" borderId="28" xfId="0" applyNumberFormat="1" applyFont="1" applyBorder="1"/>
    <xf numFmtId="174" fontId="5" fillId="0" borderId="41" xfId="0" applyNumberFormat="1" applyFont="1" applyBorder="1"/>
    <xf numFmtId="0" fontId="17" fillId="5" borderId="23" xfId="0" applyFont="1" applyFill="1" applyBorder="1"/>
    <xf numFmtId="174" fontId="5" fillId="0" borderId="42" xfId="0" applyNumberFormat="1" applyFont="1" applyBorder="1"/>
    <xf numFmtId="0" fontId="0" fillId="5" borderId="30" xfId="0" applyFill="1" applyBorder="1"/>
    <xf numFmtId="0" fontId="0" fillId="0" borderId="41" xfId="0" applyBorder="1"/>
    <xf numFmtId="0" fontId="0" fillId="0" borderId="28" xfId="0" applyBorder="1"/>
    <xf numFmtId="0" fontId="0" fillId="0" borderId="42" xfId="0" applyBorder="1"/>
    <xf numFmtId="41" fontId="0" fillId="0" borderId="19" xfId="0" applyNumberFormat="1" applyBorder="1"/>
    <xf numFmtId="41" fontId="5" fillId="0" borderId="22" xfId="0" applyNumberFormat="1" applyFont="1" applyBorder="1"/>
    <xf numFmtId="41" fontId="5" fillId="0" borderId="19" xfId="0" applyNumberFormat="1" applyFont="1" applyBorder="1"/>
    <xf numFmtId="41" fontId="5" fillId="0" borderId="42" xfId="0" applyNumberFormat="1" applyFont="1" applyBorder="1"/>
    <xf numFmtId="174" fontId="0" fillId="0" borderId="19" xfId="0" applyNumberFormat="1" applyBorder="1"/>
    <xf numFmtId="41" fontId="1" fillId="0" borderId="19" xfId="0" applyNumberFormat="1" applyFont="1" applyBorder="1"/>
    <xf numFmtId="41" fontId="0" fillId="5" borderId="23" xfId="0" applyNumberFormat="1" applyFill="1" applyBorder="1"/>
    <xf numFmtId="41" fontId="5" fillId="0" borderId="29" xfId="0" applyNumberFormat="1" applyFont="1" applyBorder="1"/>
    <xf numFmtId="0" fontId="46" fillId="0" borderId="0" xfId="0" applyFont="1" applyAlignment="1">
      <alignment horizontal="left" indent="1"/>
    </xf>
    <xf numFmtId="0" fontId="47" fillId="0" borderId="0" xfId="0" applyFont="1" applyAlignment="1">
      <alignment horizontal="center"/>
    </xf>
    <xf numFmtId="41" fontId="46" fillId="0" borderId="0" xfId="0" applyNumberFormat="1" applyFont="1"/>
    <xf numFmtId="41" fontId="21" fillId="0" borderId="0" xfId="0" applyNumberFormat="1" applyFont="1"/>
    <xf numFmtId="41" fontId="21" fillId="0" borderId="31" xfId="0" applyNumberFormat="1" applyFont="1" applyBorder="1"/>
    <xf numFmtId="0" fontId="5" fillId="5" borderId="24" xfId="0" applyFont="1" applyFill="1" applyBorder="1"/>
    <xf numFmtId="0" fontId="5" fillId="5" borderId="10" xfId="0" applyFont="1" applyFill="1" applyBorder="1"/>
    <xf numFmtId="176" fontId="5" fillId="5" borderId="10" xfId="4" applyNumberFormat="1" applyFont="1" applyFill="1" applyBorder="1"/>
    <xf numFmtId="176" fontId="5" fillId="5" borderId="21" xfId="4" applyNumberFormat="1" applyFont="1" applyFill="1" applyBorder="1"/>
    <xf numFmtId="41" fontId="5" fillId="5" borderId="10" xfId="0" applyNumberFormat="1" applyFont="1" applyFill="1" applyBorder="1"/>
    <xf numFmtId="170" fontId="5" fillId="5" borderId="10" xfId="2" applyNumberFormat="1" applyFont="1" applyFill="1" applyBorder="1"/>
    <xf numFmtId="10" fontId="5" fillId="5" borderId="10" xfId="2" applyNumberFormat="1" applyFont="1" applyFill="1" applyBorder="1"/>
    <xf numFmtId="10" fontId="5" fillId="5" borderId="21" xfId="2" applyNumberFormat="1" applyFont="1" applyFill="1" applyBorder="1"/>
    <xf numFmtId="0" fontId="20" fillId="5" borderId="2" xfId="4" applyFont="1" applyFill="1" applyBorder="1"/>
    <xf numFmtId="0" fontId="34" fillId="5" borderId="2" xfId="4" applyFont="1" applyFill="1" applyBorder="1" applyAlignment="1">
      <alignment horizontal="center"/>
    </xf>
    <xf numFmtId="41" fontId="35" fillId="5" borderId="2" xfId="4" applyNumberFormat="1" applyFont="1" applyFill="1" applyBorder="1" applyAlignment="1">
      <alignment horizontal="center"/>
    </xf>
    <xf numFmtId="0" fontId="20" fillId="5" borderId="7" xfId="4" applyFont="1" applyFill="1" applyBorder="1"/>
    <xf numFmtId="0" fontId="34" fillId="5" borderId="7" xfId="4" applyFont="1" applyFill="1" applyBorder="1" applyAlignment="1">
      <alignment horizontal="center"/>
    </xf>
    <xf numFmtId="41" fontId="34" fillId="5" borderId="7" xfId="4" applyNumberFormat="1" applyFont="1" applyFill="1" applyBorder="1" applyAlignment="1">
      <alignment horizontal="center"/>
    </xf>
    <xf numFmtId="0" fontId="20" fillId="5" borderId="7" xfId="4" applyFont="1" applyFill="1" applyBorder="1" applyAlignment="1">
      <alignment horizontal="left"/>
    </xf>
    <xf numFmtId="168" fontId="20" fillId="5" borderId="7" xfId="4" applyNumberFormat="1" applyFont="1" applyFill="1" applyBorder="1" applyAlignment="1">
      <alignment horizontal="left"/>
    </xf>
    <xf numFmtId="0" fontId="3" fillId="5" borderId="2" xfId="0" applyFont="1" applyFill="1" applyBorder="1"/>
    <xf numFmtId="43" fontId="38" fillId="5" borderId="0" xfId="0" applyNumberFormat="1" applyFont="1" applyFill="1"/>
    <xf numFmtId="176" fontId="8" fillId="5" borderId="0" xfId="4" applyNumberFormat="1" applyFont="1" applyFill="1"/>
    <xf numFmtId="176" fontId="29" fillId="5" borderId="0" xfId="4" applyNumberFormat="1" applyFont="1" applyFill="1"/>
    <xf numFmtId="176" fontId="30" fillId="5" borderId="0" xfId="4" applyNumberFormat="1" applyFont="1" applyFill="1"/>
    <xf numFmtId="176" fontId="29" fillId="5" borderId="23" xfId="4" applyNumberFormat="1" applyFont="1" applyFill="1" applyBorder="1"/>
    <xf numFmtId="10" fontId="8" fillId="5" borderId="0" xfId="0" applyNumberFormat="1" applyFont="1" applyFill="1" applyAlignment="1">
      <alignment horizontal="center"/>
    </xf>
    <xf numFmtId="10" fontId="0" fillId="5" borderId="0" xfId="2" applyNumberFormat="1" applyFont="1" applyFill="1" applyAlignment="1">
      <alignment horizontal="center"/>
    </xf>
    <xf numFmtId="10" fontId="5" fillId="5" borderId="0" xfId="2" applyNumberFormat="1" applyFont="1" applyFill="1" applyAlignment="1">
      <alignment horizontal="center"/>
    </xf>
    <xf numFmtId="10" fontId="0" fillId="5" borderId="23" xfId="2" applyNumberFormat="1" applyFont="1" applyFill="1" applyBorder="1" applyAlignment="1">
      <alignment horizontal="center"/>
    </xf>
    <xf numFmtId="43" fontId="38" fillId="5" borderId="0" xfId="0" applyNumberFormat="1" applyFont="1" applyFill="1" applyAlignment="1">
      <alignment horizontal="center"/>
    </xf>
    <xf numFmtId="170" fontId="8" fillId="5" borderId="0" xfId="2" applyNumberFormat="1" applyFont="1" applyFill="1" applyAlignment="1">
      <alignment horizontal="center"/>
    </xf>
    <xf numFmtId="170" fontId="0" fillId="5" borderId="0" xfId="0" applyNumberFormat="1" applyFill="1" applyAlignment="1">
      <alignment horizontal="center"/>
    </xf>
    <xf numFmtId="170" fontId="5" fillId="5" borderId="0" xfId="0" applyNumberFormat="1" applyFont="1" applyFill="1" applyAlignment="1">
      <alignment horizontal="center"/>
    </xf>
    <xf numFmtId="170" fontId="16" fillId="5" borderId="0" xfId="0" applyNumberFormat="1" applyFont="1" applyFill="1" applyAlignment="1">
      <alignment horizontal="center"/>
    </xf>
    <xf numFmtId="170" fontId="0" fillId="5" borderId="23" xfId="0" applyNumberFormat="1" applyFill="1" applyBorder="1" applyAlignment="1">
      <alignment horizontal="center"/>
    </xf>
    <xf numFmtId="0" fontId="3" fillId="5" borderId="2" xfId="0" applyFont="1" applyFill="1" applyBorder="1" applyAlignment="1">
      <alignment horizontal="center"/>
    </xf>
    <xf numFmtId="0" fontId="3" fillId="5" borderId="0" xfId="0" applyFont="1" applyFill="1" applyAlignment="1">
      <alignment horizontal="center"/>
    </xf>
    <xf numFmtId="0" fontId="1" fillId="5" borderId="2" xfId="0" applyFont="1" applyFill="1" applyBorder="1"/>
    <xf numFmtId="0" fontId="3" fillId="5" borderId="8" xfId="0" applyFont="1" applyFill="1" applyBorder="1"/>
    <xf numFmtId="0" fontId="1" fillId="9" borderId="7" xfId="0" applyFont="1" applyFill="1" applyBorder="1" applyAlignment="1">
      <alignment horizontal="left" indent="1"/>
    </xf>
    <xf numFmtId="0" fontId="1" fillId="9" borderId="10" xfId="0" applyFont="1" applyFill="1" applyBorder="1" applyAlignment="1">
      <alignment horizontal="left" indent="1"/>
    </xf>
    <xf numFmtId="0" fontId="21" fillId="9" borderId="10" xfId="0" applyFont="1" applyFill="1" applyBorder="1" applyAlignment="1">
      <alignment horizontal="center"/>
    </xf>
    <xf numFmtId="41" fontId="37" fillId="9" borderId="10" xfId="0" applyNumberFormat="1" applyFont="1" applyFill="1" applyBorder="1"/>
    <xf numFmtId="41" fontId="16" fillId="9" borderId="21" xfId="0" applyNumberFormat="1" applyFont="1" applyFill="1" applyBorder="1"/>
    <xf numFmtId="0" fontId="1" fillId="9" borderId="9" xfId="0" applyFont="1" applyFill="1" applyBorder="1" applyAlignment="1">
      <alignment horizontal="left" indent="1"/>
    </xf>
    <xf numFmtId="0" fontId="21" fillId="9" borderId="9" xfId="0" applyFont="1" applyFill="1" applyBorder="1" applyAlignment="1">
      <alignment horizontal="center"/>
    </xf>
    <xf numFmtId="41" fontId="21" fillId="9" borderId="29" xfId="0" applyNumberFormat="1" applyFont="1" applyFill="1" applyBorder="1"/>
    <xf numFmtId="41" fontId="21" fillId="9" borderId="9" xfId="0" applyNumberFormat="1" applyFont="1" applyFill="1" applyBorder="1"/>
    <xf numFmtId="41" fontId="21" fillId="9" borderId="22" xfId="0" applyNumberFormat="1" applyFont="1" applyFill="1" applyBorder="1"/>
    <xf numFmtId="0" fontId="1" fillId="9" borderId="8" xfId="0" applyFont="1" applyFill="1" applyBorder="1" applyAlignment="1">
      <alignment horizontal="left" indent="1"/>
    </xf>
    <xf numFmtId="0" fontId="21" fillId="9" borderId="8" xfId="0" applyFont="1" applyFill="1" applyBorder="1" applyAlignment="1">
      <alignment horizontal="center"/>
    </xf>
    <xf numFmtId="41" fontId="37" fillId="9" borderId="8" xfId="0" applyNumberFormat="1" applyFont="1" applyFill="1" applyBorder="1"/>
    <xf numFmtId="41" fontId="21" fillId="9" borderId="30" xfId="0" applyNumberFormat="1" applyFont="1" applyFill="1" applyBorder="1"/>
    <xf numFmtId="41" fontId="21" fillId="9" borderId="8" xfId="0" applyNumberFormat="1" applyFont="1" applyFill="1" applyBorder="1"/>
    <xf numFmtId="41" fontId="21" fillId="9" borderId="23" xfId="0" applyNumberFormat="1" applyFont="1" applyFill="1" applyBorder="1"/>
    <xf numFmtId="0" fontId="19" fillId="9" borderId="8" xfId="0" applyFont="1" applyFill="1" applyBorder="1" applyAlignment="1">
      <alignment horizontal="center"/>
    </xf>
    <xf numFmtId="0" fontId="0" fillId="9" borderId="8" xfId="0" applyFill="1" applyBorder="1"/>
    <xf numFmtId="0" fontId="19" fillId="9" borderId="9" xfId="0" applyFont="1" applyFill="1" applyBorder="1" applyAlignment="1">
      <alignment horizontal="center"/>
    </xf>
    <xf numFmtId="0" fontId="0" fillId="9" borderId="9" xfId="0" applyFill="1" applyBorder="1"/>
    <xf numFmtId="0" fontId="17" fillId="5" borderId="30" xfId="0" applyFont="1" applyFill="1" applyBorder="1"/>
    <xf numFmtId="41" fontId="20" fillId="5" borderId="2" xfId="0" applyNumberFormat="1" applyFont="1" applyFill="1" applyBorder="1"/>
    <xf numFmtId="0" fontId="23" fillId="5" borderId="2" xfId="0" applyFont="1" applyFill="1" applyBorder="1" applyAlignment="1">
      <alignment horizontal="center"/>
    </xf>
    <xf numFmtId="41" fontId="3" fillId="5" borderId="2" xfId="0" applyNumberFormat="1" applyFont="1" applyFill="1" applyBorder="1"/>
    <xf numFmtId="49" fontId="3" fillId="5" borderId="2" xfId="0" applyNumberFormat="1" applyFont="1" applyFill="1" applyBorder="1"/>
    <xf numFmtId="169" fontId="3" fillId="5" borderId="2" xfId="0" applyNumberFormat="1" applyFont="1" applyFill="1" applyBorder="1" applyAlignment="1">
      <alignment horizontal="center"/>
    </xf>
    <xf numFmtId="0" fontId="27" fillId="10" borderId="2" xfId="0" applyFont="1" applyFill="1" applyBorder="1"/>
    <xf numFmtId="165" fontId="27" fillId="10" borderId="2" xfId="0" applyNumberFormat="1" applyFont="1" applyFill="1" applyBorder="1" applyAlignment="1">
      <alignment horizontal="center"/>
    </xf>
    <xf numFmtId="41" fontId="20" fillId="5" borderId="43" xfId="0" applyNumberFormat="1" applyFont="1" applyFill="1" applyBorder="1"/>
    <xf numFmtId="41" fontId="20" fillId="5" borderId="20" xfId="0" applyNumberFormat="1" applyFont="1" applyFill="1" applyBorder="1"/>
    <xf numFmtId="0" fontId="19" fillId="9" borderId="12" xfId="0" applyFont="1" applyFill="1" applyBorder="1" applyAlignment="1">
      <alignment horizontal="center"/>
    </xf>
    <xf numFmtId="41" fontId="32" fillId="9" borderId="12" xfId="0" applyNumberFormat="1" applyFont="1" applyFill="1" applyBorder="1"/>
    <xf numFmtId="41" fontId="32" fillId="9" borderId="44" xfId="0" applyNumberFormat="1" applyFont="1" applyFill="1" applyBorder="1"/>
    <xf numFmtId="174" fontId="8" fillId="0" borderId="0" xfId="0" applyNumberFormat="1" applyFont="1"/>
    <xf numFmtId="0" fontId="0" fillId="9" borderId="12" xfId="0" applyFill="1" applyBorder="1" applyAlignment="1">
      <alignment horizontal="left" indent="1"/>
    </xf>
    <xf numFmtId="0" fontId="14" fillId="0" borderId="0" xfId="0" applyFont="1"/>
    <xf numFmtId="0" fontId="14" fillId="0" borderId="31" xfId="0" applyFont="1" applyBorder="1"/>
    <xf numFmtId="0" fontId="14" fillId="0" borderId="19" xfId="0" applyFont="1" applyBorder="1"/>
    <xf numFmtId="0" fontId="29" fillId="0" borderId="0" xfId="0" applyFont="1" applyAlignment="1">
      <alignment horizontal="left"/>
    </xf>
    <xf numFmtId="0" fontId="29" fillId="0" borderId="0" xfId="0" applyFont="1" applyAlignment="1">
      <alignment horizontal="left" indent="1"/>
    </xf>
    <xf numFmtId="0" fontId="29" fillId="0" borderId="2" xfId="0" applyFont="1" applyBorder="1" applyAlignment="1">
      <alignment horizontal="left" indent="1"/>
    </xf>
    <xf numFmtId="171" fontId="3" fillId="0" borderId="0" xfId="0" applyNumberFormat="1" applyFont="1"/>
    <xf numFmtId="0" fontId="29" fillId="0" borderId="0" xfId="0" applyFont="1"/>
    <xf numFmtId="171" fontId="1" fillId="0" borderId="2" xfId="0" applyNumberFormat="1" applyFont="1" applyBorder="1"/>
    <xf numFmtId="171" fontId="3" fillId="0" borderId="9" xfId="0" applyNumberFormat="1" applyFont="1" applyBorder="1"/>
    <xf numFmtId="41" fontId="21" fillId="9" borderId="24" xfId="0" applyNumberFormat="1" applyFont="1" applyFill="1" applyBorder="1"/>
    <xf numFmtId="41" fontId="45" fillId="0" borderId="0" xfId="0" applyNumberFormat="1" applyFont="1"/>
    <xf numFmtId="41" fontId="21" fillId="0" borderId="19" xfId="0" applyNumberFormat="1" applyFont="1" applyBorder="1"/>
    <xf numFmtId="41" fontId="16" fillId="0" borderId="19" xfId="0" applyNumberFormat="1" applyFont="1" applyBorder="1"/>
    <xf numFmtId="0" fontId="7" fillId="3" borderId="3" xfId="0" applyFont="1" applyFill="1" applyBorder="1" applyAlignment="1">
      <alignment horizontal="centerContinuous"/>
    </xf>
    <xf numFmtId="41" fontId="16" fillId="9" borderId="24" xfId="0" applyNumberFormat="1" applyFont="1" applyFill="1" applyBorder="1"/>
    <xf numFmtId="41" fontId="16" fillId="9" borderId="10" xfId="0" applyNumberFormat="1" applyFont="1" applyFill="1" applyBorder="1"/>
    <xf numFmtId="41" fontId="37" fillId="9" borderId="9" xfId="0" applyNumberFormat="1" applyFont="1" applyFill="1" applyBorder="1"/>
    <xf numFmtId="41" fontId="0" fillId="9" borderId="10" xfId="0" applyNumberFormat="1" applyFill="1" applyBorder="1"/>
    <xf numFmtId="41" fontId="16" fillId="9" borderId="9" xfId="0" applyNumberFormat="1" applyFont="1" applyFill="1" applyBorder="1"/>
    <xf numFmtId="41" fontId="0" fillId="9" borderId="24" xfId="0" applyNumberFormat="1" applyFill="1" applyBorder="1"/>
    <xf numFmtId="0" fontId="0" fillId="9" borderId="10" xfId="0" applyFill="1" applyBorder="1" applyAlignment="1">
      <alignment horizontal="left" indent="1"/>
    </xf>
    <xf numFmtId="0" fontId="19" fillId="9" borderId="10" xfId="0" applyFont="1" applyFill="1" applyBorder="1" applyAlignment="1">
      <alignment horizontal="center"/>
    </xf>
    <xf numFmtId="174" fontId="37" fillId="9" borderId="10" xfId="0" applyNumberFormat="1" applyFont="1" applyFill="1" applyBorder="1"/>
    <xf numFmtId="41" fontId="0" fillId="9" borderId="21" xfId="0" applyNumberFormat="1" applyFill="1" applyBorder="1"/>
    <xf numFmtId="41" fontId="32" fillId="9" borderId="23" xfId="0" applyNumberFormat="1" applyFont="1" applyFill="1" applyBorder="1"/>
    <xf numFmtId="41" fontId="20" fillId="5" borderId="23" xfId="0" applyNumberFormat="1" applyFont="1" applyFill="1" applyBorder="1"/>
    <xf numFmtId="41" fontId="20" fillId="5" borderId="8" xfId="0" applyNumberFormat="1" applyFont="1" applyFill="1" applyBorder="1"/>
    <xf numFmtId="0" fontId="7" fillId="3" borderId="6" xfId="0" applyFont="1" applyFill="1" applyBorder="1" applyAlignment="1">
      <alignment horizontal="centerContinuous"/>
    </xf>
    <xf numFmtId="165" fontId="7" fillId="3" borderId="40" xfId="0" applyNumberFormat="1" applyFont="1" applyFill="1" applyBorder="1" applyAlignment="1">
      <alignment horizontal="center"/>
    </xf>
    <xf numFmtId="165" fontId="7" fillId="3" borderId="39" xfId="0" applyNumberFormat="1" applyFont="1" applyFill="1" applyBorder="1" applyAlignment="1">
      <alignment horizontal="center"/>
    </xf>
    <xf numFmtId="0" fontId="4" fillId="3" borderId="4" xfId="0" applyFont="1" applyFill="1" applyBorder="1" applyAlignment="1">
      <alignment horizontal="centerContinuous"/>
    </xf>
    <xf numFmtId="41" fontId="32" fillId="0" borderId="8" xfId="0" applyNumberFormat="1" applyFont="1" applyBorder="1"/>
    <xf numFmtId="41" fontId="0" fillId="0" borderId="23" xfId="0" applyNumberFormat="1" applyBorder="1"/>
    <xf numFmtId="41" fontId="0" fillId="9" borderId="8" xfId="0" applyNumberFormat="1" applyFill="1" applyBorder="1"/>
    <xf numFmtId="41" fontId="0" fillId="0" borderId="31" xfId="0" applyNumberFormat="1" applyBorder="1"/>
    <xf numFmtId="174" fontId="37" fillId="0" borderId="8" xfId="0" applyNumberFormat="1" applyFont="1" applyBorder="1"/>
    <xf numFmtId="174" fontId="37" fillId="0" borderId="10" xfId="0" applyNumberFormat="1" applyFont="1" applyBorder="1"/>
    <xf numFmtId="41" fontId="0" fillId="0" borderId="24" xfId="0" applyNumberFormat="1" applyBorder="1"/>
    <xf numFmtId="41" fontId="0" fillId="0" borderId="30" xfId="0" applyNumberFormat="1" applyBorder="1"/>
    <xf numFmtId="165" fontId="0" fillId="4" borderId="1" xfId="0" applyNumberFormat="1" applyFill="1" applyBorder="1" applyAlignment="1">
      <alignment horizontal="center"/>
    </xf>
    <xf numFmtId="0" fontId="42" fillId="0" borderId="0" xfId="0" applyFont="1"/>
    <xf numFmtId="0" fontId="43" fillId="0" borderId="0" xfId="0" applyFont="1"/>
    <xf numFmtId="0" fontId="44" fillId="0" borderId="0" xfId="0" applyFont="1"/>
    <xf numFmtId="165" fontId="2" fillId="0" borderId="0" xfId="0" applyNumberFormat="1" applyFont="1" applyAlignment="1">
      <alignment horizontal="center"/>
    </xf>
    <xf numFmtId="165" fontId="2" fillId="0" borderId="13" xfId="0" applyNumberFormat="1" applyFont="1" applyBorder="1" applyAlignment="1">
      <alignment horizontal="center"/>
    </xf>
    <xf numFmtId="165" fontId="2" fillId="0" borderId="7" xfId="0" applyNumberFormat="1" applyFont="1" applyBorder="1" applyAlignment="1">
      <alignment horizontal="center"/>
    </xf>
    <xf numFmtId="165" fontId="2" fillId="0" borderId="34" xfId="0" applyNumberFormat="1" applyFont="1" applyBorder="1" applyAlignment="1">
      <alignment horizontal="center"/>
    </xf>
    <xf numFmtId="165" fontId="2" fillId="0" borderId="14" xfId="0" applyNumberFormat="1" applyFont="1" applyBorder="1" applyAlignment="1">
      <alignment horizontal="center"/>
    </xf>
    <xf numFmtId="165" fontId="2" fillId="0" borderId="45" xfId="0" applyNumberFormat="1" applyFont="1" applyBorder="1" applyAlignment="1">
      <alignment horizontal="center"/>
    </xf>
    <xf numFmtId="182" fontId="29" fillId="0" borderId="0" xfId="3" applyNumberFormat="1" applyFont="1" applyFill="1" applyBorder="1" applyAlignment="1">
      <alignment horizontal="center"/>
    </xf>
    <xf numFmtId="182" fontId="29" fillId="0" borderId="0" xfId="3" applyNumberFormat="1" applyFont="1" applyFill="1" applyBorder="1"/>
    <xf numFmtId="0" fontId="21" fillId="0" borderId="2" xfId="0" applyFont="1" applyBorder="1" applyAlignment="1">
      <alignment horizontal="center"/>
    </xf>
    <xf numFmtId="0" fontId="20" fillId="0" borderId="7" xfId="0" applyFont="1" applyBorder="1"/>
    <xf numFmtId="0" fontId="1" fillId="0" borderId="14" xfId="0" applyFont="1" applyBorder="1"/>
    <xf numFmtId="0" fontId="1" fillId="0" borderId="45" xfId="0" applyFont="1" applyBorder="1"/>
    <xf numFmtId="0" fontId="1" fillId="0" borderId="16" xfId="0" applyFont="1" applyBorder="1"/>
    <xf numFmtId="0" fontId="1" fillId="0" borderId="35" xfId="0" applyFont="1" applyBorder="1"/>
    <xf numFmtId="0" fontId="3" fillId="0" borderId="7" xfId="0" applyFont="1" applyBorder="1" applyAlignment="1">
      <alignment horizontal="left" indent="1"/>
    </xf>
    <xf numFmtId="0" fontId="1" fillId="0" borderId="13" xfId="0" applyFont="1" applyBorder="1"/>
    <xf numFmtId="0" fontId="1" fillId="0" borderId="34" xfId="0" applyFont="1" applyBorder="1"/>
    <xf numFmtId="171" fontId="3" fillId="0" borderId="7" xfId="0" applyNumberFormat="1" applyFont="1" applyBorder="1"/>
    <xf numFmtId="0" fontId="1" fillId="0" borderId="2" xfId="0" applyFont="1" applyBorder="1" applyAlignment="1">
      <alignment horizontal="left" indent="2"/>
    </xf>
    <xf numFmtId="0" fontId="3" fillId="0" borderId="0" xfId="0" applyFont="1" applyAlignment="1">
      <alignment horizontal="left" indent="1"/>
    </xf>
    <xf numFmtId="179" fontId="1" fillId="0" borderId="2" xfId="0" applyNumberFormat="1" applyFont="1" applyBorder="1" applyAlignment="1">
      <alignment horizontal="center"/>
    </xf>
    <xf numFmtId="183" fontId="8" fillId="0" borderId="14" xfId="3" applyNumberFormat="1" applyFont="1" applyFill="1" applyBorder="1"/>
    <xf numFmtId="183" fontId="8" fillId="0" borderId="0" xfId="3" applyNumberFormat="1" applyFont="1" applyFill="1" applyBorder="1"/>
    <xf numFmtId="179" fontId="1" fillId="0" borderId="0" xfId="0" applyNumberFormat="1" applyFont="1" applyAlignment="1">
      <alignment horizontal="center"/>
    </xf>
    <xf numFmtId="183" fontId="29" fillId="0" borderId="14" xfId="3" applyNumberFormat="1" applyFont="1" applyFill="1" applyBorder="1"/>
    <xf numFmtId="183" fontId="29" fillId="0" borderId="0" xfId="3" applyNumberFormat="1" applyFont="1" applyFill="1" applyBorder="1"/>
    <xf numFmtId="10" fontId="29" fillId="0" borderId="0" xfId="3" applyNumberFormat="1" applyFont="1" applyFill="1" applyBorder="1"/>
    <xf numFmtId="0" fontId="21" fillId="0" borderId="7" xfId="0" applyFont="1" applyBorder="1" applyAlignment="1">
      <alignment horizontal="center"/>
    </xf>
    <xf numFmtId="183" fontId="29" fillId="0" borderId="13" xfId="3" applyNumberFormat="1" applyFont="1" applyFill="1" applyBorder="1"/>
    <xf numFmtId="183" fontId="29" fillId="0" borderId="7" xfId="3" applyNumberFormat="1" applyFont="1" applyFill="1" applyBorder="1"/>
    <xf numFmtId="0" fontId="0" fillId="0" borderId="0" xfId="0" applyFont="1"/>
    <xf numFmtId="182" fontId="2" fillId="0" borderId="0" xfId="0" applyNumberFormat="1" applyFont="1" applyAlignment="1">
      <alignment horizontal="center"/>
    </xf>
    <xf numFmtId="0" fontId="0" fillId="0" borderId="0" xfId="0" applyBorder="1"/>
    <xf numFmtId="41" fontId="5" fillId="0" borderId="0" xfId="0" applyNumberFormat="1" applyFont="1" applyBorder="1"/>
    <xf numFmtId="41" fontId="16" fillId="9" borderId="8" xfId="0" applyNumberFormat="1" applyFont="1" applyFill="1" applyBorder="1"/>
    <xf numFmtId="0" fontId="1" fillId="0" borderId="0" xfId="0" applyFont="1" applyBorder="1"/>
    <xf numFmtId="41" fontId="5" fillId="0" borderId="18" xfId="0" applyNumberFormat="1" applyFont="1" applyBorder="1"/>
    <xf numFmtId="9" fontId="1" fillId="0" borderId="0" xfId="0" applyNumberFormat="1" applyFont="1"/>
    <xf numFmtId="9" fontId="29" fillId="0" borderId="0" xfId="2" applyFont="1" applyFill="1" applyBorder="1" applyAlignment="1">
      <alignment horizontal="center"/>
    </xf>
    <xf numFmtId="171" fontId="0" fillId="0" borderId="0" xfId="0" applyNumberFormat="1"/>
    <xf numFmtId="171" fontId="5" fillId="0" borderId="22" xfId="0" applyNumberFormat="1" applyFont="1" applyBorder="1"/>
    <xf numFmtId="0" fontId="5" fillId="0" borderId="0" xfId="0" applyFont="1" applyBorder="1"/>
    <xf numFmtId="0" fontId="10" fillId="0" borderId="0" xfId="0" applyFont="1" applyBorder="1" applyAlignment="1">
      <alignment horizontal="center"/>
    </xf>
    <xf numFmtId="171" fontId="1" fillId="0" borderId="14" xfId="0" applyNumberFormat="1" applyFont="1" applyBorder="1"/>
    <xf numFmtId="171" fontId="1" fillId="0" borderId="45" xfId="0" applyNumberFormat="1" applyFont="1" applyBorder="1"/>
    <xf numFmtId="171" fontId="8" fillId="0" borderId="0" xfId="0" applyNumberFormat="1" applyFont="1"/>
    <xf numFmtId="171" fontId="8" fillId="0" borderId="45" xfId="0" applyNumberFormat="1" applyFont="1" applyBorder="1"/>
    <xf numFmtId="171" fontId="1" fillId="0" borderId="31" xfId="0" applyNumberFormat="1" applyFont="1" applyBorder="1"/>
    <xf numFmtId="171" fontId="8" fillId="0" borderId="31" xfId="0" applyNumberFormat="1" applyFont="1" applyBorder="1"/>
    <xf numFmtId="0" fontId="1" fillId="0" borderId="0" xfId="0" applyFont="1" applyBorder="1" applyAlignment="1">
      <alignment horizontal="left" indent="1"/>
    </xf>
    <xf numFmtId="0" fontId="21" fillId="0" borderId="0" xfId="0" applyFont="1" applyBorder="1" applyAlignment="1">
      <alignment horizontal="center"/>
    </xf>
    <xf numFmtId="0" fontId="3" fillId="0" borderId="28" xfId="0" applyFont="1" applyBorder="1"/>
    <xf numFmtId="0" fontId="21" fillId="0" borderId="28" xfId="0" applyFont="1" applyBorder="1" applyAlignment="1">
      <alignment horizontal="center"/>
    </xf>
    <xf numFmtId="180" fontId="3" fillId="0" borderId="41" xfId="0" applyNumberFormat="1" applyFont="1" applyBorder="1"/>
    <xf numFmtId="180" fontId="3" fillId="0" borderId="28" xfId="0" applyNumberFormat="1" applyFont="1" applyBorder="1"/>
    <xf numFmtId="180" fontId="3" fillId="0" borderId="46" xfId="0" applyNumberFormat="1" applyFont="1" applyBorder="1"/>
    <xf numFmtId="43" fontId="8" fillId="9" borderId="8" xfId="0" applyNumberFormat="1" applyFont="1" applyFill="1" applyBorder="1"/>
    <xf numFmtId="171" fontId="3" fillId="0" borderId="0" xfId="0" applyNumberFormat="1" applyFont="1" applyBorder="1"/>
    <xf numFmtId="0" fontId="1" fillId="0" borderId="23" xfId="0" applyFont="1" applyBorder="1"/>
    <xf numFmtId="165" fontId="2" fillId="0" borderId="19" xfId="0" applyNumberFormat="1" applyFont="1" applyBorder="1" applyAlignment="1">
      <alignment horizontal="center"/>
    </xf>
    <xf numFmtId="0" fontId="16" fillId="0" borderId="0" xfId="0" applyFont="1" applyAlignment="1">
      <alignment horizontal="left" indent="2"/>
    </xf>
    <xf numFmtId="171" fontId="16" fillId="0" borderId="0" xfId="0" applyNumberFormat="1" applyFont="1" applyBorder="1"/>
    <xf numFmtId="41" fontId="0" fillId="9" borderId="10" xfId="0" applyNumberFormat="1" applyFont="1" applyFill="1" applyBorder="1"/>
    <xf numFmtId="174" fontId="16" fillId="0" borderId="0" xfId="0" applyNumberFormat="1" applyFont="1"/>
    <xf numFmtId="171" fontId="16" fillId="0" borderId="14" xfId="0" applyNumberFormat="1" applyFont="1" applyBorder="1"/>
    <xf numFmtId="171" fontId="16" fillId="0" borderId="0" xfId="0" applyNumberFormat="1" applyFont="1"/>
    <xf numFmtId="171" fontId="16" fillId="0" borderId="45" xfId="0" applyNumberFormat="1" applyFont="1" applyBorder="1"/>
    <xf numFmtId="0" fontId="1" fillId="9" borderId="0" xfId="0" applyFont="1" applyFill="1" applyBorder="1" applyAlignment="1">
      <alignment horizontal="left" indent="1"/>
    </xf>
    <xf numFmtId="0" fontId="21" fillId="9" borderId="0" xfId="0" applyFont="1" applyFill="1" applyBorder="1" applyAlignment="1">
      <alignment horizontal="center"/>
    </xf>
    <xf numFmtId="41" fontId="37" fillId="9" borderId="0" xfId="0" applyNumberFormat="1" applyFont="1" applyFill="1" applyBorder="1"/>
    <xf numFmtId="41" fontId="21" fillId="9" borderId="0" xfId="0" applyNumberFormat="1" applyFont="1" applyFill="1" applyBorder="1"/>
    <xf numFmtId="41" fontId="16" fillId="9" borderId="0" xfId="0" applyNumberFormat="1" applyFont="1" applyFill="1" applyBorder="1"/>
    <xf numFmtId="41" fontId="21" fillId="9" borderId="31" xfId="0" applyNumberFormat="1" applyFont="1" applyFill="1" applyBorder="1"/>
    <xf numFmtId="41" fontId="21" fillId="9" borderId="19" xfId="0" applyNumberFormat="1" applyFont="1" applyFill="1" applyBorder="1"/>
    <xf numFmtId="174" fontId="32" fillId="0" borderId="8" xfId="0" applyNumberFormat="1" applyFont="1" applyBorder="1"/>
    <xf numFmtId="0" fontId="0" fillId="0" borderId="30" xfId="0" applyBorder="1"/>
    <xf numFmtId="0" fontId="0" fillId="0" borderId="23" xfId="0" applyBorder="1"/>
    <xf numFmtId="1" fontId="40" fillId="4" borderId="1" xfId="3" applyNumberFormat="1" applyFont="1" applyFill="1" applyAlignment="1">
      <alignment horizontal="center"/>
    </xf>
    <xf numFmtId="179" fontId="40" fillId="4" borderId="26" xfId="3" applyNumberFormat="1" applyFont="1" applyFill="1" applyBorder="1" applyAlignment="1">
      <alignment horizontal="center"/>
    </xf>
    <xf numFmtId="172" fontId="5" fillId="0" borderId="9" xfId="0" applyNumberFormat="1" applyFont="1" applyBorder="1"/>
    <xf numFmtId="171" fontId="0" fillId="0" borderId="9" xfId="0" applyNumberFormat="1" applyBorder="1"/>
    <xf numFmtId="176" fontId="29" fillId="0" borderId="0" xfId="4" applyNumberFormat="1" applyFont="1" applyFill="1"/>
    <xf numFmtId="0" fontId="21" fillId="0" borderId="0" xfId="0" applyFont="1" applyAlignment="1">
      <alignment horizontal="left" indent="1"/>
    </xf>
    <xf numFmtId="0" fontId="1" fillId="0" borderId="0" xfId="0" applyFont="1" applyAlignment="1">
      <alignment horizontal="left" indent="3"/>
    </xf>
    <xf numFmtId="0" fontId="3" fillId="5" borderId="16" xfId="0" applyFont="1" applyFill="1" applyBorder="1"/>
    <xf numFmtId="0" fontId="3" fillId="5" borderId="35" xfId="0" applyFont="1" applyFill="1" applyBorder="1"/>
    <xf numFmtId="0" fontId="3" fillId="5" borderId="14" xfId="0" applyFont="1" applyFill="1" applyBorder="1" applyAlignment="1">
      <alignment horizontal="center"/>
    </xf>
    <xf numFmtId="0" fontId="3" fillId="5" borderId="45" xfId="0" applyFont="1" applyFill="1" applyBorder="1" applyAlignment="1">
      <alignment horizontal="center"/>
    </xf>
    <xf numFmtId="0" fontId="3" fillId="5" borderId="16" xfId="0" applyFont="1" applyFill="1" applyBorder="1" applyAlignment="1">
      <alignment horizontal="center"/>
    </xf>
    <xf numFmtId="0" fontId="3" fillId="5" borderId="35" xfId="0" applyFont="1" applyFill="1" applyBorder="1" applyAlignment="1">
      <alignment horizontal="center"/>
    </xf>
    <xf numFmtId="0" fontId="21" fillId="0" borderId="8" xfId="0" applyFont="1" applyBorder="1" applyAlignment="1">
      <alignment horizontal="center"/>
    </xf>
    <xf numFmtId="0" fontId="0" fillId="5" borderId="23" xfId="0" applyFill="1" applyBorder="1"/>
    <xf numFmtId="171" fontId="5" fillId="0" borderId="0" xfId="0" applyNumberFormat="1" applyFont="1"/>
    <xf numFmtId="176" fontId="0" fillId="0" borderId="8" xfId="0" applyNumberFormat="1" applyBorder="1"/>
    <xf numFmtId="0" fontId="1" fillId="0" borderId="8" xfId="0" applyFont="1" applyBorder="1" applyAlignment="1">
      <alignment horizontal="left" indent="1"/>
    </xf>
    <xf numFmtId="167" fontId="5" fillId="0" borderId="0" xfId="0" applyNumberFormat="1" applyFont="1"/>
    <xf numFmtId="170" fontId="29" fillId="0" borderId="0" xfId="2" applyNumberFormat="1" applyFont="1" applyFill="1"/>
    <xf numFmtId="167" fontId="0" fillId="0" borderId="19" xfId="0" applyNumberFormat="1" applyBorder="1"/>
    <xf numFmtId="167" fontId="5" fillId="0" borderId="19" xfId="0" applyNumberFormat="1" applyFont="1" applyBorder="1"/>
    <xf numFmtId="176" fontId="3" fillId="0" borderId="45" xfId="0" applyNumberFormat="1" applyFont="1" applyBorder="1"/>
    <xf numFmtId="179" fontId="49" fillId="0" borderId="45" xfId="3" applyNumberFormat="1" applyFont="1" applyFill="1" applyBorder="1"/>
    <xf numFmtId="171" fontId="0" fillId="0" borderId="19" xfId="0" applyNumberFormat="1" applyBorder="1"/>
    <xf numFmtId="43" fontId="5" fillId="11" borderId="9" xfId="0" applyNumberFormat="1" applyFont="1" applyFill="1" applyBorder="1"/>
    <xf numFmtId="43" fontId="5" fillId="11" borderId="0" xfId="0" applyNumberFormat="1" applyFont="1" applyFill="1"/>
    <xf numFmtId="43" fontId="5" fillId="11" borderId="31" xfId="0" applyNumberFormat="1" applyFont="1" applyFill="1" applyBorder="1"/>
    <xf numFmtId="43" fontId="16" fillId="11" borderId="0" xfId="0" applyNumberFormat="1" applyFont="1" applyFill="1"/>
    <xf numFmtId="178" fontId="0" fillId="4" borderId="32" xfId="0" applyNumberFormat="1" applyFont="1" applyFill="1" applyBorder="1" applyAlignment="1">
      <alignment horizontal="center"/>
    </xf>
    <xf numFmtId="0" fontId="19" fillId="0" borderId="0" xfId="0" applyFont="1" applyFill="1" applyBorder="1" applyAlignment="1">
      <alignment horizontal="center"/>
    </xf>
    <xf numFmtId="173" fontId="32" fillId="0" borderId="0" xfId="0" applyNumberFormat="1" applyFont="1" applyFill="1" applyBorder="1" applyAlignment="1">
      <alignment horizontal="right"/>
    </xf>
    <xf numFmtId="37" fontId="0" fillId="0" borderId="0" xfId="0" applyNumberFormat="1" applyFont="1" applyFill="1" applyBorder="1" applyAlignment="1">
      <alignment horizontal="left"/>
    </xf>
    <xf numFmtId="164" fontId="0" fillId="0" borderId="0" xfId="0" applyNumberFormat="1" applyFont="1" applyFill="1" applyBorder="1" applyAlignment="1">
      <alignment horizontal="center"/>
    </xf>
    <xf numFmtId="37" fontId="0" fillId="0" borderId="0" xfId="0" applyNumberFormat="1" applyFont="1" applyFill="1" applyBorder="1" applyAlignment="1">
      <alignment horizontal="center"/>
    </xf>
    <xf numFmtId="37" fontId="0" fillId="0" borderId="0" xfId="0" applyNumberFormat="1" applyAlignment="1">
      <alignment horizontal="center"/>
    </xf>
    <xf numFmtId="173" fontId="8" fillId="4" borderId="1" xfId="0" applyNumberFormat="1" applyFont="1" applyFill="1" applyBorder="1" applyAlignment="1">
      <alignment horizontal="center"/>
    </xf>
    <xf numFmtId="37" fontId="48" fillId="4" borderId="1" xfId="0" applyNumberFormat="1" applyFont="1" applyFill="1" applyBorder="1" applyAlignment="1">
      <alignment horizontal="center"/>
    </xf>
    <xf numFmtId="0" fontId="0" fillId="0" borderId="0" xfId="0" applyFont="1" applyFill="1"/>
    <xf numFmtId="191" fontId="20" fillId="7" borderId="22" xfId="4" applyNumberFormat="1" applyFont="1" applyFill="1" applyBorder="1" applyAlignment="1">
      <alignment horizontal="left"/>
    </xf>
    <xf numFmtId="0" fontId="0" fillId="3" borderId="0" xfId="0" applyFill="1" applyAlignment="1">
      <alignment horizontal="centerContinuous"/>
    </xf>
    <xf numFmtId="9" fontId="0" fillId="0" borderId="0" xfId="0" applyNumberFormat="1"/>
    <xf numFmtId="170" fontId="0" fillId="5" borderId="0" xfId="0" applyNumberFormat="1" applyFill="1"/>
    <xf numFmtId="170" fontId="17" fillId="5" borderId="0" xfId="0" applyNumberFormat="1" applyFont="1" applyFill="1"/>
    <xf numFmtId="170" fontId="8" fillId="5" borderId="0" xfId="0" applyNumberFormat="1" applyFont="1" applyFill="1"/>
    <xf numFmtId="9" fontId="8" fillId="5" borderId="0" xfId="2" applyFont="1" applyFill="1"/>
    <xf numFmtId="9" fontId="8" fillId="5" borderId="0" xfId="0" applyNumberFormat="1" applyFont="1" applyFill="1"/>
    <xf numFmtId="170" fontId="5" fillId="5" borderId="0" xfId="0" applyNumberFormat="1" applyFont="1" applyFill="1"/>
    <xf numFmtId="0" fontId="4" fillId="3" borderId="0" xfId="0" applyFont="1" applyFill="1"/>
    <xf numFmtId="10" fontId="5" fillId="11" borderId="0" xfId="2" applyNumberFormat="1" applyFont="1" applyFill="1"/>
    <xf numFmtId="10" fontId="5" fillId="11" borderId="0" xfId="2" applyNumberFormat="1" applyFont="1" applyFill="1" applyBorder="1"/>
    <xf numFmtId="9" fontId="13" fillId="5" borderId="0" xfId="0" applyNumberFormat="1" applyFont="1" applyFill="1" applyBorder="1"/>
    <xf numFmtId="176" fontId="17" fillId="5" borderId="0" xfId="4" applyNumberFormat="1" applyFont="1" applyFill="1"/>
    <xf numFmtId="176" fontId="30" fillId="11" borderId="0" xfId="4" applyNumberFormat="1" applyFont="1" applyFill="1"/>
    <xf numFmtId="43" fontId="0" fillId="5" borderId="0" xfId="0" applyNumberFormat="1" applyFill="1"/>
    <xf numFmtId="170" fontId="5" fillId="11" borderId="0" xfId="2" applyNumberFormat="1" applyFont="1" applyFill="1"/>
    <xf numFmtId="43" fontId="5" fillId="5" borderId="0" xfId="0" applyNumberFormat="1" applyFont="1" applyFill="1"/>
    <xf numFmtId="170" fontId="16" fillId="0" borderId="0" xfId="2" applyNumberFormat="1" applyFont="1" applyFill="1"/>
    <xf numFmtId="43" fontId="32" fillId="0" borderId="0" xfId="0" applyNumberFormat="1" applyFont="1"/>
    <xf numFmtId="173" fontId="0" fillId="0" borderId="0" xfId="0" applyNumberFormat="1"/>
    <xf numFmtId="0" fontId="7" fillId="3" borderId="0" xfId="0" applyFont="1" applyFill="1" applyBorder="1"/>
    <xf numFmtId="0" fontId="7" fillId="3" borderId="0" xfId="0" applyFont="1" applyFill="1" applyBorder="1" applyAlignment="1">
      <alignment horizontal="center"/>
    </xf>
    <xf numFmtId="0" fontId="50" fillId="0" borderId="48" xfId="0" applyFont="1" applyFill="1" applyBorder="1"/>
    <xf numFmtId="0" fontId="50" fillId="0" borderId="47" xfId="0" applyFont="1" applyFill="1" applyBorder="1"/>
    <xf numFmtId="4" fontId="0" fillId="0" borderId="47" xfId="0" applyNumberFormat="1" applyBorder="1" applyAlignment="1">
      <alignment horizontal="right"/>
    </xf>
    <xf numFmtId="170" fontId="0" fillId="0" borderId="47" xfId="2" applyNumberFormat="1" applyFont="1" applyBorder="1" applyAlignment="1">
      <alignment horizontal="right"/>
    </xf>
    <xf numFmtId="0" fontId="0" fillId="0" borderId="47" xfId="0" applyBorder="1" applyAlignment="1">
      <alignment horizontal="left" indent="2"/>
    </xf>
    <xf numFmtId="0" fontId="0" fillId="0" borderId="48" xfId="0" applyBorder="1" applyAlignment="1">
      <alignment horizontal="left" indent="2"/>
    </xf>
    <xf numFmtId="170" fontId="0" fillId="0" borderId="48" xfId="2" applyNumberFormat="1" applyFont="1" applyBorder="1" applyAlignment="1">
      <alignment horizontal="right"/>
    </xf>
    <xf numFmtId="0" fontId="0" fillId="0" borderId="48" xfId="0" applyBorder="1"/>
    <xf numFmtId="0" fontId="0" fillId="0" borderId="47" xfId="0" applyBorder="1"/>
    <xf numFmtId="43" fontId="8" fillId="0" borderId="0" xfId="0" applyNumberFormat="1" applyFont="1"/>
    <xf numFmtId="41" fontId="46" fillId="5" borderId="7" xfId="4" applyNumberFormat="1" applyFont="1" applyFill="1" applyBorder="1" applyAlignment="1">
      <alignment horizontal="center"/>
    </xf>
  </cellXfs>
  <cellStyles count="6">
    <cellStyle name="Comma" xfId="1" builtinId="3"/>
    <cellStyle name="Normal" xfId="0" builtinId="0"/>
    <cellStyle name="Normal 2" xfId="4" xr:uid="{0B27180F-101D-524C-B163-B42A2235CBEA}"/>
    <cellStyle name="Normal 5 2" xfId="5" xr:uid="{637F802F-0DF2-8A4A-81FF-E249E6F6E089}"/>
    <cellStyle name="Note" xfId="3" builtinId="10"/>
    <cellStyle name="Per cent" xfId="2" builtinId="5"/>
  </cellStyles>
  <dxfs count="12">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0000FF"/>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t>Compass</a:t>
            </a:r>
            <a:r>
              <a:rPr lang="en-GB" b="1" baseline="0"/>
              <a:t> Group Valuation - Range of Implied Share Prices</a:t>
            </a:r>
            <a:endParaRPr lang="en-GB"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stacked"/>
        <c:varyColors val="0"/>
        <c:ser>
          <c:idx val="0"/>
          <c:order val="1"/>
          <c:spPr>
            <a:noFill/>
            <a:ln>
              <a:noFill/>
            </a:ln>
            <a:effectLst/>
          </c:spPr>
          <c:invertIfNegative val="0"/>
          <c:cat>
            <c:strRef>
              <c:f>Valuation_Summary!$AA$17:$AA$25</c:f>
              <c:strCache>
                <c:ptCount val="9"/>
                <c:pt idx="0">
                  <c:v>DCF Perpetuity Growth Rate Method:</c:v>
                </c:pt>
                <c:pt idx="1">
                  <c:v>DCF Multiple Method:</c:v>
                </c:pt>
                <c:pt idx="3">
                  <c:v>LBO:</c:v>
                </c:pt>
                <c:pt idx="5">
                  <c:v>FY 26 P / E:</c:v>
                </c:pt>
                <c:pt idx="6">
                  <c:v>FY26 TEV / EBITDA:</c:v>
                </c:pt>
                <c:pt idx="8">
                  <c:v>Current Share Price</c:v>
                </c:pt>
              </c:strCache>
            </c:strRef>
          </c:cat>
          <c:val>
            <c:numRef>
              <c:f>Valuation_Summary!$AI$17:$AI$24</c:f>
              <c:numCache>
                <c:formatCode>_(* #,##0.00_);_(* \(#,##0.00\);_(* "-"??_);_(@_)</c:formatCode>
                <c:ptCount val="8"/>
                <c:pt idx="0">
                  <c:v>18.118905716425683</c:v>
                </c:pt>
                <c:pt idx="1">
                  <c:v>23.051380869385863</c:v>
                </c:pt>
                <c:pt idx="3">
                  <c:v>18</c:v>
                </c:pt>
                <c:pt idx="5">
                  <c:v>17.797362150362986</c:v>
                </c:pt>
                <c:pt idx="6">
                  <c:v>8.2345366887318772</c:v>
                </c:pt>
              </c:numCache>
            </c:numRef>
          </c:val>
          <c:extLst>
            <c:ext xmlns:c16="http://schemas.microsoft.com/office/drawing/2014/chart" uri="{C3380CC4-5D6E-409C-BE32-E72D297353CC}">
              <c16:uniqueId val="{00000000-B47A-3442-A44D-C9A05E78BD42}"/>
            </c:ext>
          </c:extLst>
        </c:ser>
        <c:ser>
          <c:idx val="1"/>
          <c:order val="2"/>
          <c:spPr>
            <a:noFill/>
            <a:ln>
              <a:noFill/>
            </a:ln>
            <a:effectLst/>
          </c:spPr>
          <c:invertIfNegative val="0"/>
          <c:cat>
            <c:strRef>
              <c:f>Valuation_Summary!$AA$17:$AA$25</c:f>
              <c:strCache>
                <c:ptCount val="9"/>
                <c:pt idx="0">
                  <c:v>DCF Perpetuity Growth Rate Method:</c:v>
                </c:pt>
                <c:pt idx="1">
                  <c:v>DCF Multiple Method:</c:v>
                </c:pt>
                <c:pt idx="3">
                  <c:v>LBO:</c:v>
                </c:pt>
                <c:pt idx="5">
                  <c:v>FY 26 P / E:</c:v>
                </c:pt>
                <c:pt idx="6">
                  <c:v>FY26 TEV / EBITDA:</c:v>
                </c:pt>
                <c:pt idx="8">
                  <c:v>Current Share Price</c:v>
                </c:pt>
              </c:strCache>
            </c:strRef>
          </c:cat>
          <c:val>
            <c:numRef>
              <c:f>Valuation_Summary!$AJ$17:$AJ$24</c:f>
              <c:numCache>
                <c:formatCode>_(* #,##0.00_);_(* \(#,##0.00\);_(* "-"??_);_(@_)</c:formatCode>
                <c:ptCount val="8"/>
                <c:pt idx="0">
                  <c:v>2.291733915387443</c:v>
                </c:pt>
                <c:pt idx="1">
                  <c:v>2.2556727196453075</c:v>
                </c:pt>
                <c:pt idx="3">
                  <c:v>1.5</c:v>
                </c:pt>
                <c:pt idx="5">
                  <c:v>1.4815892437609506</c:v>
                </c:pt>
                <c:pt idx="6">
                  <c:v>0.73232612261374186</c:v>
                </c:pt>
              </c:numCache>
            </c:numRef>
          </c:val>
          <c:extLst>
            <c:ext xmlns:c16="http://schemas.microsoft.com/office/drawing/2014/chart" uri="{C3380CC4-5D6E-409C-BE32-E72D297353CC}">
              <c16:uniqueId val="{00000001-B47A-3442-A44D-C9A05E78BD42}"/>
            </c:ext>
          </c:extLst>
        </c:ser>
        <c:ser>
          <c:idx val="2"/>
          <c:order val="3"/>
          <c:tx>
            <c:v>25th to Median</c:v>
          </c:tx>
          <c:spPr>
            <a:solidFill>
              <a:schemeClr val="accent1">
                <a:shade val="90000"/>
              </a:schemeClr>
            </a:solidFill>
            <a:ln>
              <a:noFill/>
            </a:ln>
            <a:effectLst/>
          </c:spPr>
          <c:invertIfNegative val="0"/>
          <c:cat>
            <c:strRef>
              <c:f>Valuation_Summary!$AA$17:$AA$25</c:f>
              <c:strCache>
                <c:ptCount val="9"/>
                <c:pt idx="0">
                  <c:v>DCF Perpetuity Growth Rate Method:</c:v>
                </c:pt>
                <c:pt idx="1">
                  <c:v>DCF Multiple Method:</c:v>
                </c:pt>
                <c:pt idx="3">
                  <c:v>LBO:</c:v>
                </c:pt>
                <c:pt idx="5">
                  <c:v>FY 26 P / E:</c:v>
                </c:pt>
                <c:pt idx="6">
                  <c:v>FY26 TEV / EBITDA:</c:v>
                </c:pt>
                <c:pt idx="8">
                  <c:v>Current Share Price</c:v>
                </c:pt>
              </c:strCache>
            </c:strRef>
          </c:cat>
          <c:val>
            <c:numRef>
              <c:f>Valuation_Summary!$AK$17:$AK$24</c:f>
              <c:numCache>
                <c:formatCode>_(* #,##0.00_);_(* \(#,##0.00\);_(* "-"??_);_(@_)</c:formatCode>
                <c:ptCount val="8"/>
                <c:pt idx="0">
                  <c:v>4.5671703543354951</c:v>
                </c:pt>
                <c:pt idx="1">
                  <c:v>2.6845774018791388</c:v>
                </c:pt>
                <c:pt idx="3">
                  <c:v>1.5</c:v>
                </c:pt>
                <c:pt idx="5">
                  <c:v>14.062293958066867</c:v>
                </c:pt>
                <c:pt idx="6">
                  <c:v>10.217409871640617</c:v>
                </c:pt>
              </c:numCache>
            </c:numRef>
          </c:val>
          <c:extLst>
            <c:ext xmlns:c16="http://schemas.microsoft.com/office/drawing/2014/chart" uri="{C3380CC4-5D6E-409C-BE32-E72D297353CC}">
              <c16:uniqueId val="{00000002-B47A-3442-A44D-C9A05E78BD42}"/>
            </c:ext>
          </c:extLst>
        </c:ser>
        <c:ser>
          <c:idx val="3"/>
          <c:order val="4"/>
          <c:tx>
            <c:v>Median to 75th</c:v>
          </c:tx>
          <c:spPr>
            <a:solidFill>
              <a:schemeClr val="accent1">
                <a:tint val="90000"/>
              </a:schemeClr>
            </a:solidFill>
            <a:ln>
              <a:noFill/>
            </a:ln>
            <a:effectLst/>
          </c:spPr>
          <c:invertIfNegative val="0"/>
          <c:cat>
            <c:strRef>
              <c:f>Valuation_Summary!$AA$17:$AA$25</c:f>
              <c:strCache>
                <c:ptCount val="9"/>
                <c:pt idx="0">
                  <c:v>DCF Perpetuity Growth Rate Method:</c:v>
                </c:pt>
                <c:pt idx="1">
                  <c:v>DCF Multiple Method:</c:v>
                </c:pt>
                <c:pt idx="3">
                  <c:v>LBO:</c:v>
                </c:pt>
                <c:pt idx="5">
                  <c:v>FY 26 P / E:</c:v>
                </c:pt>
                <c:pt idx="6">
                  <c:v>FY26 TEV / EBITDA:</c:v>
                </c:pt>
                <c:pt idx="8">
                  <c:v>Current Share Price</c:v>
                </c:pt>
              </c:strCache>
            </c:strRef>
          </c:cat>
          <c:val>
            <c:numRef>
              <c:f>Valuation_Summary!$AL$17:$AL$24</c:f>
              <c:numCache>
                <c:formatCode>_(* #,##0.00_);_(* \(#,##0.00\);_(* "-"??_);_(@_)</c:formatCode>
                <c:ptCount val="8"/>
                <c:pt idx="0">
                  <c:v>6.8153565996456997</c:v>
                </c:pt>
                <c:pt idx="1">
                  <c:v>2.2421355981859961</c:v>
                </c:pt>
                <c:pt idx="3">
                  <c:v>1.5</c:v>
                </c:pt>
                <c:pt idx="5">
                  <c:v>3.2711648765080454</c:v>
                </c:pt>
                <c:pt idx="6">
                  <c:v>1.0833614043033784</c:v>
                </c:pt>
              </c:numCache>
            </c:numRef>
          </c:val>
          <c:extLst>
            <c:ext xmlns:c16="http://schemas.microsoft.com/office/drawing/2014/chart" uri="{C3380CC4-5D6E-409C-BE32-E72D297353CC}">
              <c16:uniqueId val="{00000003-B47A-3442-A44D-C9A05E78BD42}"/>
            </c:ext>
          </c:extLst>
        </c:ser>
        <c:dLbls>
          <c:showLegendKey val="0"/>
          <c:showVal val="0"/>
          <c:showCatName val="0"/>
          <c:showSerName val="0"/>
          <c:showPercent val="0"/>
          <c:showBubbleSize val="0"/>
        </c:dLbls>
        <c:gapWidth val="150"/>
        <c:overlap val="100"/>
        <c:axId val="67918399"/>
        <c:axId val="1556026176"/>
      </c:barChart>
      <c:scatterChart>
        <c:scatterStyle val="smoothMarker"/>
        <c:varyColors val="0"/>
        <c:ser>
          <c:idx val="5"/>
          <c:order val="0"/>
          <c:tx>
            <c:strRef>
              <c:f>Valuation_Summary!$AA$25</c:f>
              <c:strCache>
                <c:ptCount val="1"/>
                <c:pt idx="0">
                  <c:v>Current Share Price</c:v>
                </c:pt>
              </c:strCache>
            </c:strRef>
          </c:tx>
          <c:spPr>
            <a:ln w="28575" cap="rnd">
              <a:solidFill>
                <a:srgbClr val="FF0000"/>
              </a:solidFill>
              <a:round/>
            </a:ln>
            <a:effectLst/>
          </c:spPr>
          <c:marker>
            <c:symbol val="circle"/>
            <c:size val="5"/>
            <c:spPr>
              <a:noFill/>
              <a:ln w="9525">
                <a:noFill/>
              </a:ln>
              <a:effectLst/>
            </c:spPr>
          </c:marker>
          <c:xVal>
            <c:numRef>
              <c:f>Valuation_Summary!$AD$25:$AH$25</c:f>
              <c:numCache>
                <c:formatCode>_(* #,##0.00_);_(* \(#,##0.00\);_(* "-"?_);_(@_)</c:formatCode>
                <c:ptCount val="5"/>
                <c:pt idx="0">
                  <c:v>31.71</c:v>
                </c:pt>
                <c:pt idx="1">
                  <c:v>31.71</c:v>
                </c:pt>
                <c:pt idx="2">
                  <c:v>31.71</c:v>
                </c:pt>
                <c:pt idx="3">
                  <c:v>31.71</c:v>
                </c:pt>
                <c:pt idx="4">
                  <c:v>31.71</c:v>
                </c:pt>
              </c:numCache>
            </c:numRef>
          </c:xVal>
          <c:yVal>
            <c:numRef>
              <c:f>Valuation_Summary!$AI$25:$AM$25</c:f>
              <c:numCache>
                <c:formatCode>_(* #,##0.00_);_(* \(#,##0.00\);_(* "-"??_);_(@_)</c:formatCode>
                <c:ptCount val="5"/>
                <c:pt idx="0">
                  <c:v>1000</c:v>
                </c:pt>
                <c:pt idx="1">
                  <c:v>0</c:v>
                </c:pt>
                <c:pt idx="2">
                  <c:v>0</c:v>
                </c:pt>
                <c:pt idx="3">
                  <c:v>0</c:v>
                </c:pt>
                <c:pt idx="4">
                  <c:v>0</c:v>
                </c:pt>
              </c:numCache>
            </c:numRef>
          </c:yVal>
          <c:smooth val="1"/>
          <c:extLst>
            <c:ext xmlns:c16="http://schemas.microsoft.com/office/drawing/2014/chart" uri="{C3380CC4-5D6E-409C-BE32-E72D297353CC}">
              <c16:uniqueId val="{00000005-B47A-3442-A44D-C9A05E78BD42}"/>
            </c:ext>
          </c:extLst>
        </c:ser>
        <c:dLbls>
          <c:showLegendKey val="0"/>
          <c:showVal val="0"/>
          <c:showCatName val="0"/>
          <c:showSerName val="0"/>
          <c:showPercent val="0"/>
          <c:showBubbleSize val="0"/>
        </c:dLbls>
        <c:axId val="1199747776"/>
        <c:axId val="1199766400"/>
      </c:scatterChart>
      <c:catAx>
        <c:axId val="67918399"/>
        <c:scaling>
          <c:orientation val="minMax"/>
        </c:scaling>
        <c:delete val="0"/>
        <c:axPos val="l"/>
        <c:numFmt formatCode="General" sourceLinked="1"/>
        <c:majorTickMark val="none"/>
        <c:minorTickMark val="none"/>
        <c:tickLblPos val="nextTo"/>
        <c:spPr>
          <a:noFill/>
          <a:ln w="12700" cap="flat" cmpd="sng" algn="ctr">
            <a:solidFill>
              <a:schemeClr val="accent1">
                <a:shade val="1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6026176"/>
        <c:crosses val="autoZero"/>
        <c:auto val="1"/>
        <c:lblAlgn val="ctr"/>
        <c:lblOffset val="100"/>
        <c:noMultiLvlLbl val="0"/>
      </c:catAx>
      <c:valAx>
        <c:axId val="1556026176"/>
        <c:scaling>
          <c:orientation val="minMax"/>
        </c:scaling>
        <c:delete val="0"/>
        <c:axPos val="b"/>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w="12700">
            <a:solidFill>
              <a:schemeClr val="accent1">
                <a:shade val="15000"/>
              </a:scheme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918399"/>
        <c:crosses val="autoZero"/>
        <c:crossBetween val="between"/>
      </c:valAx>
      <c:valAx>
        <c:axId val="1199766400"/>
        <c:scaling>
          <c:orientation val="minMax"/>
          <c:max val="1000"/>
          <c:min val="0"/>
        </c:scaling>
        <c:delete val="1"/>
        <c:axPos val="r"/>
        <c:numFmt formatCode="_(* #,##0.00_);_(* \(#,##0.00\);_(* &quot;-&quot;??_);_(@_)" sourceLinked="1"/>
        <c:majorTickMark val="out"/>
        <c:minorTickMark val="none"/>
        <c:tickLblPos val="nextTo"/>
        <c:crossAx val="1199747776"/>
        <c:crosses val="max"/>
        <c:crossBetween val="midCat"/>
      </c:valAx>
      <c:valAx>
        <c:axId val="1199747776"/>
        <c:scaling>
          <c:orientation val="minMax"/>
        </c:scaling>
        <c:delete val="1"/>
        <c:axPos val="b"/>
        <c:numFmt formatCode="_(* #,##0.00_);_(* \(#,##0.00\);_(* &quot;-&quot;?_);_(@_)" sourceLinked="1"/>
        <c:majorTickMark val="out"/>
        <c:minorTickMark val="none"/>
        <c:tickLblPos val="nextTo"/>
        <c:crossAx val="1199766400"/>
        <c:crossBetween val="midCat"/>
      </c:valAx>
      <c:spPr>
        <a:noFill/>
        <a:ln>
          <a:noFill/>
        </a:ln>
        <a:effectLst/>
      </c:spPr>
    </c:plotArea>
    <c:legend>
      <c:legendPos val="r"/>
      <c:legendEntry>
        <c:idx val="0"/>
        <c:delete val="1"/>
      </c:legendEntry>
      <c:legendEntry>
        <c:idx val="1"/>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318910</xdr:colOff>
      <xdr:row>10</xdr:row>
      <xdr:rowOff>194732</xdr:rowOff>
    </xdr:from>
    <xdr:to>
      <xdr:col>4</xdr:col>
      <xdr:colOff>216895</xdr:colOff>
      <xdr:row>17</xdr:row>
      <xdr:rowOff>114903</xdr:rowOff>
    </xdr:to>
    <xdr:grpSp>
      <xdr:nvGrpSpPr>
        <xdr:cNvPr id="8" name="Group 7">
          <a:extLst>
            <a:ext uri="{FF2B5EF4-FFF2-40B4-BE49-F238E27FC236}">
              <a16:creationId xmlns:a16="http://schemas.microsoft.com/office/drawing/2014/main" id="{1C9FE667-ABDC-3C51-1834-38E7A62139B0}"/>
            </a:ext>
          </a:extLst>
        </xdr:cNvPr>
        <xdr:cNvGrpSpPr/>
      </xdr:nvGrpSpPr>
      <xdr:grpSpPr>
        <a:xfrm>
          <a:off x="731660" y="2258482"/>
          <a:ext cx="3453985" cy="1364796"/>
          <a:chOff x="712007" y="2160209"/>
          <a:chExt cx="2738563" cy="1316567"/>
        </a:xfrm>
      </xdr:grpSpPr>
      <xdr:sp macro="" textlink="DCF!J28">
        <xdr:nvSpPr>
          <xdr:cNvPr id="2" name="Rounded Rectangle 1">
            <a:extLst>
              <a:ext uri="{FF2B5EF4-FFF2-40B4-BE49-F238E27FC236}">
                <a16:creationId xmlns:a16="http://schemas.microsoft.com/office/drawing/2014/main" id="{A70CE625-C9F7-FE92-1DE7-1FC237F7EE75}"/>
              </a:ext>
            </a:extLst>
          </xdr:cNvPr>
          <xdr:cNvSpPr/>
        </xdr:nvSpPr>
        <xdr:spPr>
          <a:xfrm>
            <a:off x="712007" y="2160209"/>
            <a:ext cx="2738563" cy="1316567"/>
          </a:xfrm>
          <a:prstGeom prst="roundRect">
            <a:avLst/>
          </a:prstGeom>
          <a:solidFill>
            <a:schemeClr val="tx2">
              <a:lumMod val="90000"/>
              <a:lumOff val="1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2092ED8-C73F-2640-AFB6-D4DD313516AD}" type="TxLink">
              <a:rPr lang="en-US" sz="3200" b="1" i="0" u="none" strike="noStrike">
                <a:solidFill>
                  <a:schemeClr val="bg1"/>
                </a:solidFill>
                <a:latin typeface="Aptos Narrow"/>
              </a:rPr>
              <a:t> $28.29 </a:t>
            </a:fld>
            <a:endParaRPr lang="en-GB" sz="6000" b="1">
              <a:solidFill>
                <a:schemeClr val="bg1"/>
              </a:solidFill>
            </a:endParaRPr>
          </a:p>
        </xdr:txBody>
      </xdr:sp>
      <xdr:sp macro="" textlink="$AA$10">
        <xdr:nvSpPr>
          <xdr:cNvPr id="6" name="TextBox 5">
            <a:extLst>
              <a:ext uri="{FF2B5EF4-FFF2-40B4-BE49-F238E27FC236}">
                <a16:creationId xmlns:a16="http://schemas.microsoft.com/office/drawing/2014/main" id="{2D8D83C9-EB90-9E6A-B770-61DAAD216F16}"/>
              </a:ext>
            </a:extLst>
          </xdr:cNvPr>
          <xdr:cNvSpPr txBox="1"/>
        </xdr:nvSpPr>
        <xdr:spPr>
          <a:xfrm>
            <a:off x="1164167" y="3069167"/>
            <a:ext cx="1950357" cy="377977"/>
          </a:xfrm>
          <a:prstGeom prst="rect">
            <a:avLst/>
          </a:prstGeom>
          <a:solidFill>
            <a:schemeClr val="tx2">
              <a:lumMod val="90000"/>
              <a:lumOff val="1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095DA59-6AD0-9841-AB57-C0903849DA59}" type="TxLink">
              <a:rPr lang="en-US" sz="1200" b="1" i="0" u="none" strike="noStrike">
                <a:solidFill>
                  <a:schemeClr val="bg1"/>
                </a:solidFill>
                <a:latin typeface="Aptos Narrow"/>
              </a:rPr>
              <a:t>10.8% Discount to Current</a:t>
            </a:fld>
            <a:endParaRPr lang="en-GB" sz="1100" b="1">
              <a:solidFill>
                <a:schemeClr val="bg1"/>
              </a:solidFill>
            </a:endParaRPr>
          </a:p>
        </xdr:txBody>
      </xdr:sp>
      <xdr:sp macro="" textlink="">
        <xdr:nvSpPr>
          <xdr:cNvPr id="7" name="TextBox 6">
            <a:extLst>
              <a:ext uri="{FF2B5EF4-FFF2-40B4-BE49-F238E27FC236}">
                <a16:creationId xmlns:a16="http://schemas.microsoft.com/office/drawing/2014/main" id="{C1668DF7-69A3-C3E6-F04A-94EBD61F3D49}"/>
              </a:ext>
            </a:extLst>
          </xdr:cNvPr>
          <xdr:cNvSpPr txBox="1"/>
        </xdr:nvSpPr>
        <xdr:spPr>
          <a:xfrm>
            <a:off x="1420829" y="2267747"/>
            <a:ext cx="1496786" cy="257024"/>
          </a:xfrm>
          <a:prstGeom prst="rect">
            <a:avLst/>
          </a:prstGeom>
          <a:solidFill>
            <a:schemeClr val="tx2">
              <a:lumMod val="90000"/>
              <a:lumOff val="1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1">
                <a:solidFill>
                  <a:schemeClr val="bg1"/>
                </a:solidFill>
              </a:rPr>
              <a:t>Implied</a:t>
            </a:r>
            <a:r>
              <a:rPr lang="en-GB" sz="1200" b="1" baseline="0">
                <a:solidFill>
                  <a:schemeClr val="bg1"/>
                </a:solidFill>
              </a:rPr>
              <a:t> Price (DCF)</a:t>
            </a:r>
            <a:endParaRPr lang="en-GB" sz="1200" b="1">
              <a:solidFill>
                <a:schemeClr val="bg1"/>
              </a:solidFill>
            </a:endParaRPr>
          </a:p>
        </xdr:txBody>
      </xdr:sp>
    </xdr:grpSp>
    <xdr:clientData/>
  </xdr:twoCellAnchor>
  <xdr:twoCellAnchor>
    <xdr:from>
      <xdr:col>4</xdr:col>
      <xdr:colOff>1124166</xdr:colOff>
      <xdr:row>10</xdr:row>
      <xdr:rowOff>196546</xdr:rowOff>
    </xdr:from>
    <xdr:to>
      <xdr:col>7</xdr:col>
      <xdr:colOff>944397</xdr:colOff>
      <xdr:row>17</xdr:row>
      <xdr:rowOff>116717</xdr:rowOff>
    </xdr:to>
    <xdr:grpSp>
      <xdr:nvGrpSpPr>
        <xdr:cNvPr id="12" name="Group 11">
          <a:extLst>
            <a:ext uri="{FF2B5EF4-FFF2-40B4-BE49-F238E27FC236}">
              <a16:creationId xmlns:a16="http://schemas.microsoft.com/office/drawing/2014/main" id="{4C449B23-2C98-EAED-6DB5-45419D243CC2}"/>
            </a:ext>
          </a:extLst>
        </xdr:cNvPr>
        <xdr:cNvGrpSpPr/>
      </xdr:nvGrpSpPr>
      <xdr:grpSpPr>
        <a:xfrm>
          <a:off x="5092916" y="2260296"/>
          <a:ext cx="3439731" cy="1364796"/>
          <a:chOff x="4067024" y="2162023"/>
          <a:chExt cx="2743200" cy="1371600"/>
        </a:xfrm>
        <a:solidFill>
          <a:schemeClr val="tx2">
            <a:lumMod val="90000"/>
            <a:lumOff val="10000"/>
          </a:schemeClr>
        </a:solidFill>
      </xdr:grpSpPr>
      <xdr:sp macro="" textlink="$AA$12">
        <xdr:nvSpPr>
          <xdr:cNvPr id="9" name="Rounded Rectangle 8">
            <a:extLst>
              <a:ext uri="{FF2B5EF4-FFF2-40B4-BE49-F238E27FC236}">
                <a16:creationId xmlns:a16="http://schemas.microsoft.com/office/drawing/2014/main" id="{84116B6D-2414-EB18-02EF-8B8C5AD67CE1}"/>
              </a:ext>
            </a:extLst>
          </xdr:cNvPr>
          <xdr:cNvSpPr/>
        </xdr:nvSpPr>
        <xdr:spPr>
          <a:xfrm>
            <a:off x="4067024" y="2162023"/>
            <a:ext cx="2743200" cy="137160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B03A5CF-FD7F-004A-82DD-3C66AC98C680}" type="TxLink">
              <a:rPr lang="en-US" sz="2800" b="1" i="0" u="none" strike="noStrike">
                <a:solidFill>
                  <a:schemeClr val="bg1"/>
                </a:solidFill>
                <a:latin typeface="Aptos Narrow"/>
              </a:rPr>
              <a:pPr algn="ctr"/>
              <a:t>13.9x vs. 9.0x</a:t>
            </a:fld>
            <a:endParaRPr lang="en-GB" sz="2400" b="1">
              <a:solidFill>
                <a:schemeClr val="bg1"/>
              </a:solidFill>
            </a:endParaRPr>
          </a:p>
        </xdr:txBody>
      </xdr:sp>
      <xdr:sp macro="" textlink="">
        <xdr:nvSpPr>
          <xdr:cNvPr id="10" name="TextBox 9">
            <a:extLst>
              <a:ext uri="{FF2B5EF4-FFF2-40B4-BE49-F238E27FC236}">
                <a16:creationId xmlns:a16="http://schemas.microsoft.com/office/drawing/2014/main" id="{B595218B-CF10-8A8C-2ECA-499B5DAEDCEB}"/>
              </a:ext>
            </a:extLst>
          </xdr:cNvPr>
          <xdr:cNvSpPr txBox="1"/>
        </xdr:nvSpPr>
        <xdr:spPr>
          <a:xfrm>
            <a:off x="4520596" y="2313213"/>
            <a:ext cx="1965476" cy="362857"/>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solidFill>
                  <a:schemeClr val="bg1"/>
                </a:solidFill>
              </a:rPr>
              <a:t>Forward </a:t>
            </a:r>
            <a:r>
              <a:rPr lang="en-GB" sz="1200" b="1">
                <a:solidFill>
                  <a:schemeClr val="bg1"/>
                </a:solidFill>
              </a:rPr>
              <a:t>EV</a:t>
            </a:r>
            <a:r>
              <a:rPr lang="en-GB" sz="1100" b="1">
                <a:solidFill>
                  <a:schemeClr val="bg1"/>
                </a:solidFill>
              </a:rPr>
              <a:t>/EBITDA vs. Peers</a:t>
            </a:r>
          </a:p>
        </xdr:txBody>
      </xdr:sp>
      <xdr:sp macro="" textlink="$AA$11">
        <xdr:nvSpPr>
          <xdr:cNvPr id="11" name="TextBox 10">
            <a:extLst>
              <a:ext uri="{FF2B5EF4-FFF2-40B4-BE49-F238E27FC236}">
                <a16:creationId xmlns:a16="http://schemas.microsoft.com/office/drawing/2014/main" id="{52067061-70B0-AC1F-4178-D51ADEF5ABED}"/>
              </a:ext>
            </a:extLst>
          </xdr:cNvPr>
          <xdr:cNvSpPr txBox="1"/>
        </xdr:nvSpPr>
        <xdr:spPr>
          <a:xfrm>
            <a:off x="4596190" y="3099405"/>
            <a:ext cx="1753809" cy="31750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2953106-F470-6F40-82A4-A58DA392ECBD}" type="TxLink">
              <a:rPr lang="en-US" sz="1200" b="1" i="0" u="none" strike="noStrike">
                <a:solidFill>
                  <a:schemeClr val="bg1"/>
                </a:solidFill>
                <a:latin typeface="Aptos Narrow"/>
              </a:rPr>
              <a:t>55.1% Premium to Peers</a:t>
            </a:fld>
            <a:endParaRPr lang="en-GB" sz="1100" b="1">
              <a:solidFill>
                <a:schemeClr val="bg1"/>
              </a:solidFill>
            </a:endParaRPr>
          </a:p>
        </xdr:txBody>
      </xdr:sp>
    </xdr:grpSp>
    <xdr:clientData/>
  </xdr:twoCellAnchor>
  <xdr:twoCellAnchor>
    <xdr:from>
      <xdr:col>8</xdr:col>
      <xdr:colOff>624454</xdr:colOff>
      <xdr:row>10</xdr:row>
      <xdr:rowOff>186266</xdr:rowOff>
    </xdr:from>
    <xdr:to>
      <xdr:col>11</xdr:col>
      <xdr:colOff>366929</xdr:colOff>
      <xdr:row>17</xdr:row>
      <xdr:rowOff>106437</xdr:rowOff>
    </xdr:to>
    <xdr:grpSp>
      <xdr:nvGrpSpPr>
        <xdr:cNvPr id="16" name="Group 15">
          <a:extLst>
            <a:ext uri="{FF2B5EF4-FFF2-40B4-BE49-F238E27FC236}">
              <a16:creationId xmlns:a16="http://schemas.microsoft.com/office/drawing/2014/main" id="{C3CC3EAC-4314-5144-808E-37FCF6AD5954}"/>
            </a:ext>
          </a:extLst>
        </xdr:cNvPr>
        <xdr:cNvGrpSpPr/>
      </xdr:nvGrpSpPr>
      <xdr:grpSpPr>
        <a:xfrm>
          <a:off x="9419204" y="2250016"/>
          <a:ext cx="3488975" cy="1364796"/>
          <a:chOff x="7371209" y="2149231"/>
          <a:chExt cx="2706729" cy="1324707"/>
        </a:xfrm>
        <a:solidFill>
          <a:schemeClr val="tx2">
            <a:lumMod val="90000"/>
            <a:lumOff val="10000"/>
          </a:schemeClr>
        </a:solidFill>
      </xdr:grpSpPr>
      <xdr:sp macro="" textlink="$AA$13">
        <xdr:nvSpPr>
          <xdr:cNvPr id="13" name="Rounded Rectangle 12">
            <a:extLst>
              <a:ext uri="{FF2B5EF4-FFF2-40B4-BE49-F238E27FC236}">
                <a16:creationId xmlns:a16="http://schemas.microsoft.com/office/drawing/2014/main" id="{3FD550D2-FF66-CE42-0CFF-53500C326245}"/>
              </a:ext>
            </a:extLst>
          </xdr:cNvPr>
          <xdr:cNvSpPr/>
        </xdr:nvSpPr>
        <xdr:spPr>
          <a:xfrm>
            <a:off x="7371209" y="2149231"/>
            <a:ext cx="2706729" cy="1324707"/>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E5A7FA6-D269-564A-95F2-65E7056A08A4}" type="TxLink">
              <a:rPr lang="en-US" sz="2000" b="1" i="0" u="none" strike="noStrike">
                <a:solidFill>
                  <a:schemeClr val="bg1"/>
                </a:solidFill>
                <a:latin typeface="Aptos Narrow"/>
              </a:rPr>
              <a:pPr algn="ctr"/>
              <a:t>4.9% IRR / 1.3x MoIC</a:t>
            </a:fld>
            <a:endParaRPr lang="en-GB" sz="1800" b="1">
              <a:solidFill>
                <a:schemeClr val="bg1"/>
              </a:solidFill>
            </a:endParaRPr>
          </a:p>
        </xdr:txBody>
      </xdr:sp>
      <xdr:sp macro="" textlink="">
        <xdr:nvSpPr>
          <xdr:cNvPr id="14" name="TextBox 13">
            <a:extLst>
              <a:ext uri="{FF2B5EF4-FFF2-40B4-BE49-F238E27FC236}">
                <a16:creationId xmlns:a16="http://schemas.microsoft.com/office/drawing/2014/main" id="{4ABEF70B-8D78-333E-7DDF-4A3CDC58A9B5}"/>
              </a:ext>
            </a:extLst>
          </xdr:cNvPr>
          <xdr:cNvSpPr txBox="1"/>
        </xdr:nvSpPr>
        <xdr:spPr>
          <a:xfrm>
            <a:off x="8073292" y="2304520"/>
            <a:ext cx="1438031" cy="23837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1">
                <a:solidFill>
                  <a:schemeClr val="bg1"/>
                </a:solidFill>
              </a:rPr>
              <a:t>Base LBO Returns</a:t>
            </a:r>
          </a:p>
        </xdr:txBody>
      </xdr:sp>
      <xdr:sp macro="" textlink="">
        <xdr:nvSpPr>
          <xdr:cNvPr id="15" name="TextBox 14">
            <a:extLst>
              <a:ext uri="{FF2B5EF4-FFF2-40B4-BE49-F238E27FC236}">
                <a16:creationId xmlns:a16="http://schemas.microsoft.com/office/drawing/2014/main" id="{3E540501-D549-8129-2422-026EF0588C94}"/>
              </a:ext>
            </a:extLst>
          </xdr:cNvPr>
          <xdr:cNvSpPr txBox="1"/>
        </xdr:nvSpPr>
        <xdr:spPr>
          <a:xfrm>
            <a:off x="8219644" y="3051724"/>
            <a:ext cx="1051589" cy="255861"/>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1">
                <a:ln>
                  <a:noFill/>
                </a:ln>
                <a:solidFill>
                  <a:schemeClr val="bg1"/>
                </a:solidFill>
              </a:rPr>
              <a:t>5-Year Hold</a:t>
            </a:r>
          </a:p>
        </xdr:txBody>
      </xdr:sp>
    </xdr:grpSp>
    <xdr:clientData/>
  </xdr:twoCellAnchor>
  <xdr:twoCellAnchor>
    <xdr:from>
      <xdr:col>2</xdr:col>
      <xdr:colOff>128952</xdr:colOff>
      <xdr:row>25</xdr:row>
      <xdr:rowOff>44940</xdr:rowOff>
    </xdr:from>
    <xdr:to>
      <xdr:col>10</xdr:col>
      <xdr:colOff>457199</xdr:colOff>
      <xdr:row>54</xdr:row>
      <xdr:rowOff>50800</xdr:rowOff>
    </xdr:to>
    <xdr:graphicFrame macro="">
      <xdr:nvGraphicFramePr>
        <xdr:cNvPr id="17" name="Chart 16">
          <a:extLst>
            <a:ext uri="{FF2B5EF4-FFF2-40B4-BE49-F238E27FC236}">
              <a16:creationId xmlns:a16="http://schemas.microsoft.com/office/drawing/2014/main" id="{083FB6B6-D4D1-E416-246D-00F2E22545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255018</xdr:colOff>
      <xdr:row>81</xdr:row>
      <xdr:rowOff>37204</xdr:rowOff>
    </xdr:from>
    <xdr:to>
      <xdr:col>8</xdr:col>
      <xdr:colOff>1151862</xdr:colOff>
      <xdr:row>100</xdr:row>
      <xdr:rowOff>88605</xdr:rowOff>
    </xdr:to>
    <xdr:sp macro="" textlink="">
      <xdr:nvSpPr>
        <xdr:cNvPr id="19" name="TextBox 18">
          <a:extLst>
            <a:ext uri="{FF2B5EF4-FFF2-40B4-BE49-F238E27FC236}">
              <a16:creationId xmlns:a16="http://schemas.microsoft.com/office/drawing/2014/main" id="{290BB39C-5C0F-9332-3CA9-3EEC5F95A798}"/>
            </a:ext>
          </a:extLst>
        </xdr:cNvPr>
        <xdr:cNvSpPr txBox="1"/>
      </xdr:nvSpPr>
      <xdr:spPr>
        <a:xfrm>
          <a:off x="668506" y="17196971"/>
          <a:ext cx="9314286" cy="397954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a:t>Based on this valuation analysis, Compass Group is currently overvalued at its share price of $31.71. While the company demonstrates clear operational superiority within the contract catering space, the market has fully priced in flawless execution. The current entry point offers a severely limited margin of safety for both public investors and private equity buyers.</a:t>
          </a:r>
        </a:p>
        <a:p>
          <a:endParaRPr lang="en-GB"/>
        </a:p>
        <a:p>
          <a:r>
            <a:rPr lang="en-GB" b="1"/>
            <a:t>Key Drivers of this Conclusion:</a:t>
          </a:r>
        </a:p>
        <a:p>
          <a:endParaRPr lang="en-GB"/>
        </a:p>
        <a:p>
          <a:r>
            <a:rPr lang="en-GB" b="1"/>
            <a:t>DCF Valuation:</a:t>
          </a:r>
          <a:r>
            <a:rPr lang="en-GB"/>
            <a:t> Even when applying healthy growth assumptions (6.6%–8.0% 5-year revenue growth), the baseline DCF indicates the stock is trading above intrinsic value. Assuming an 8.0% WACC and an 11.0x terminal EBITDA multiple, the implied share price sits at $28.29 (a 10.8% downside). Using a 3.0% perpetuity growth rate suggests an even steeper 16.4% downside to $26.51.</a:t>
          </a:r>
        </a:p>
        <a:p>
          <a:endParaRPr lang="en-GB"/>
        </a:p>
        <a:p>
          <a:r>
            <a:rPr lang="en-GB" b="1"/>
            <a:t>Premium to Comps:</a:t>
          </a:r>
          <a:r>
            <a:rPr lang="en-GB"/>
            <a:t> Compass has superior operating metrics, projecting a FY26 EBITDA margin of 9.1% compared to the peer median of just 6.8%. However, this operational edge does not justify the significant trading premium. Compass currently trades at 13.9x FY26 EV/EBITDA,</a:t>
          </a:r>
          <a:r>
            <a:rPr lang="en-GB" baseline="0"/>
            <a:t> </a:t>
          </a:r>
          <a:r>
            <a:rPr lang="en-GB"/>
            <a:t>a massive 54% premium over the peer median of 9.0x. The market has already rewarded the company for its efficiency, leaving no room for multiple expansion.</a:t>
          </a:r>
        </a:p>
        <a:p>
          <a:endParaRPr lang="en-GB"/>
        </a:p>
        <a:p>
          <a:r>
            <a:rPr lang="en-GB" b="1"/>
            <a:t>LBO:</a:t>
          </a:r>
          <a:r>
            <a:rPr lang="en-GB"/>
            <a:t> A sponsor take-private is largely unfeasible at current trading levels. A standard 25% share price premium forces a steep 17.2x entry valuation, while the current high-rate environment constrains entry leverage and debt paydown capacity. Under these conditions, our 14.0x base exit yields an</a:t>
          </a:r>
          <a:r>
            <a:rPr lang="en-GB" baseline="0"/>
            <a:t> insufficient</a:t>
          </a:r>
          <a:r>
            <a:rPr lang="en-GB"/>
            <a:t> ~5% IRR. To achieve a baseline 20% return without relying on unrealistic multiple expansion, a buyer would have to drastically reduce their entry valuation, suggesting a justifiable share price significantly below current trading levels.</a:t>
          </a:r>
        </a:p>
        <a:p>
          <a:endParaRPr lang="en-GB"/>
        </a:p>
        <a:p>
          <a:r>
            <a:rPr lang="en-GB" b="1"/>
            <a:t>Conclusion:</a:t>
          </a:r>
          <a:r>
            <a:rPr lang="en-GB"/>
            <a:t> Compass Group is a premium asset trading at an ultra-premium price. With the current valuation fully disconnected from intrinsic cash flow baseline estimates and resting far above relative peer benchmarks, the risk/reward profile is skewed heavily to the downside. Any minor operational shortfall or macro headwind could trigger a sharp correction back toward its intrinsic value in the mid-to-high $20s.</a:t>
          </a:r>
        </a:p>
        <a:p>
          <a:endParaRPr lang="en-GB" sz="1100"/>
        </a:p>
      </xdr:txBody>
    </xdr:sp>
    <xdr:clientData/>
  </xdr:twoCellAnchor>
</xdr:wsDr>
</file>

<file path=xl/drawings/drawing2.xml><?xml version="1.0" encoding="utf-8"?>
<c:userShapes xmlns:c="http://schemas.openxmlformats.org/drawingml/2006/chart">
  <cdr:relSizeAnchor xmlns:cdr="http://schemas.openxmlformats.org/drawingml/2006/chartDrawing">
    <cdr:from>
      <cdr:x>0.00179</cdr:x>
      <cdr:y>0.08918</cdr:y>
    </cdr:from>
    <cdr:to>
      <cdr:x>0.20069</cdr:x>
      <cdr:y>0.13057</cdr:y>
    </cdr:to>
    <cdr:sp macro="" textlink="">
      <cdr:nvSpPr>
        <cdr:cNvPr id="2" name="TextBox 1">
          <a:extLst xmlns:a="http://schemas.openxmlformats.org/drawingml/2006/main">
            <a:ext uri="{FF2B5EF4-FFF2-40B4-BE49-F238E27FC236}">
              <a16:creationId xmlns:a16="http://schemas.microsoft.com/office/drawing/2014/main" id="{1D8BB92F-EA52-4E87-56CA-FF70CDF956EB}"/>
            </a:ext>
          </a:extLst>
        </cdr:cNvPr>
        <cdr:cNvSpPr txBox="1"/>
      </cdr:nvSpPr>
      <cdr:spPr>
        <a:xfrm xmlns:a="http://schemas.openxmlformats.org/drawingml/2006/main">
          <a:off x="18255" y="528788"/>
          <a:ext cx="2025791" cy="245425"/>
        </a:xfrm>
        <a:prstGeom xmlns:a="http://schemas.openxmlformats.org/drawingml/2006/main" prst="rect">
          <a:avLst/>
        </a:prstGeom>
        <a:noFill xmlns:a="http://schemas.openxmlformats.org/drawingml/2006/main"/>
      </cdr:spPr>
      <cdr:txBody>
        <a:bodyPr xmlns:a="http://schemas.openxmlformats.org/drawingml/2006/main" vertOverflow="clip" wrap="square" rtlCol="0"/>
        <a:lstStyle xmlns:a="http://schemas.openxmlformats.org/drawingml/2006/main"/>
        <a:p xmlns:a="http://schemas.openxmlformats.org/drawingml/2006/main">
          <a:r>
            <a:rPr lang="en-GB" sz="1000" b="1" kern="1200">
              <a:solidFill>
                <a:schemeClr val="tx2">
                  <a:lumMod val="90000"/>
                  <a:lumOff val="10000"/>
                </a:schemeClr>
              </a:solidFill>
            </a:rPr>
            <a:t>Comparable Public Companies:</a:t>
          </a:r>
        </a:p>
      </cdr:txBody>
    </cdr:sp>
  </cdr:relSizeAnchor>
  <cdr:relSizeAnchor xmlns:cdr="http://schemas.openxmlformats.org/drawingml/2006/chartDrawing">
    <cdr:from>
      <cdr:x>0.08689</cdr:x>
      <cdr:y>0.43502</cdr:y>
    </cdr:from>
    <cdr:to>
      <cdr:x>0.1801</cdr:x>
      <cdr:y>0.47345</cdr:y>
    </cdr:to>
    <cdr:sp macro="" textlink="">
      <cdr:nvSpPr>
        <cdr:cNvPr id="3" name="TextBox 2">
          <a:extLst xmlns:a="http://schemas.openxmlformats.org/drawingml/2006/main">
            <a:ext uri="{FF2B5EF4-FFF2-40B4-BE49-F238E27FC236}">
              <a16:creationId xmlns:a16="http://schemas.microsoft.com/office/drawing/2014/main" id="{8496B168-ED8F-576E-9547-617CF9FA9BD7}"/>
            </a:ext>
          </a:extLst>
        </cdr:cNvPr>
        <cdr:cNvSpPr txBox="1"/>
      </cdr:nvSpPr>
      <cdr:spPr>
        <a:xfrm xmlns:a="http://schemas.openxmlformats.org/drawingml/2006/main">
          <a:off x="1028456" y="2542573"/>
          <a:ext cx="1103115" cy="224639"/>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1000" b="1" kern="1200">
              <a:solidFill>
                <a:schemeClr val="tx2">
                  <a:lumMod val="90000"/>
                  <a:lumOff val="10000"/>
                </a:schemeClr>
              </a:solidFill>
            </a:rPr>
            <a:t>LBO Output:</a:t>
          </a:r>
        </a:p>
      </cdr:txBody>
    </cdr:sp>
  </cdr:relSizeAnchor>
  <cdr:relSizeAnchor xmlns:cdr="http://schemas.openxmlformats.org/drawingml/2006/chartDrawing">
    <cdr:from>
      <cdr:x>0.07998</cdr:x>
      <cdr:y>0.65558</cdr:y>
    </cdr:from>
    <cdr:to>
      <cdr:x>0.18752</cdr:x>
      <cdr:y>0.69697</cdr:y>
    </cdr:to>
    <cdr:sp macro="" textlink="">
      <cdr:nvSpPr>
        <cdr:cNvPr id="4" name="TextBox 3">
          <a:extLst xmlns:a="http://schemas.openxmlformats.org/drawingml/2006/main">
            <a:ext uri="{FF2B5EF4-FFF2-40B4-BE49-F238E27FC236}">
              <a16:creationId xmlns:a16="http://schemas.microsoft.com/office/drawing/2014/main" id="{34094C42-025C-4EF1-66B7-47196FD24D22}"/>
            </a:ext>
          </a:extLst>
        </cdr:cNvPr>
        <cdr:cNvSpPr txBox="1"/>
      </cdr:nvSpPr>
      <cdr:spPr>
        <a:xfrm xmlns:a="http://schemas.openxmlformats.org/drawingml/2006/main">
          <a:off x="946617" y="3831696"/>
          <a:ext cx="1272824" cy="24192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1000" b="1" kern="1200">
              <a:solidFill>
                <a:schemeClr val="tx2">
                  <a:lumMod val="90000"/>
                  <a:lumOff val="10000"/>
                </a:schemeClr>
              </a:solidFill>
            </a:rPr>
            <a:t>DCF Outputs:</a:t>
          </a:r>
        </a:p>
      </cdr:txBody>
    </cdr:sp>
  </cdr:relSizeAnchor>
</c:userShapes>
</file>

<file path=xl/drawings/drawing3.xml><?xml version="1.0" encoding="utf-8"?>
<xdr:wsDr xmlns:xdr="http://schemas.openxmlformats.org/drawingml/2006/spreadsheetDrawing" xmlns:a="http://schemas.openxmlformats.org/drawingml/2006/main">
  <xdr:twoCellAnchor>
    <xdr:from>
      <xdr:col>15</xdr:col>
      <xdr:colOff>430720</xdr:colOff>
      <xdr:row>4</xdr:row>
      <xdr:rowOff>149390</xdr:rowOff>
    </xdr:from>
    <xdr:to>
      <xdr:col>21</xdr:col>
      <xdr:colOff>12330</xdr:colOff>
      <xdr:row>8</xdr:row>
      <xdr:rowOff>184951</xdr:rowOff>
    </xdr:to>
    <xdr:sp macro="" textlink="">
      <xdr:nvSpPr>
        <xdr:cNvPr id="3" name="TextBox 2">
          <a:extLst>
            <a:ext uri="{FF2B5EF4-FFF2-40B4-BE49-F238E27FC236}">
              <a16:creationId xmlns:a16="http://schemas.microsoft.com/office/drawing/2014/main" id="{34F4229F-19B8-EB76-23FE-58032632FED4}"/>
            </a:ext>
          </a:extLst>
        </xdr:cNvPr>
        <xdr:cNvSpPr txBox="1"/>
      </xdr:nvSpPr>
      <xdr:spPr>
        <a:xfrm>
          <a:off x="18025769" y="1333079"/>
          <a:ext cx="4723260" cy="82468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b="1"/>
            <a:t>Terminal</a:t>
          </a:r>
          <a:r>
            <a:rPr lang="en-GB" b="1" baseline="0"/>
            <a:t> </a:t>
          </a:r>
          <a:r>
            <a:rPr lang="en-GB" b="1"/>
            <a:t>EBITDA Multiple:</a:t>
          </a:r>
          <a:r>
            <a:rPr lang="en-GB" b="1" baseline="0"/>
            <a:t> </a:t>
          </a:r>
          <a:r>
            <a:rPr lang="en-GB"/>
            <a:t>An 11.0x terminal EV/EBITDA multiple</a:t>
          </a:r>
          <a:r>
            <a:rPr lang="en-GB" baseline="0"/>
            <a:t> </a:t>
          </a:r>
          <a:r>
            <a:rPr lang="en-GB"/>
            <a:t>conservatively steps down from Compass Group’s trailing</a:t>
          </a:r>
          <a:r>
            <a:rPr lang="en-GB" baseline="0"/>
            <a:t> twelve month </a:t>
          </a:r>
          <a:r>
            <a:rPr lang="en-GB"/>
            <a:t>14.1x multiple as growth slows over time, while still maintaining a clear premium over the peer median of</a:t>
          </a:r>
          <a:r>
            <a:rPr lang="en-GB" baseline="0"/>
            <a:t> around</a:t>
          </a:r>
          <a:r>
            <a:rPr lang="en-GB"/>
            <a:t> 8.5x to reflect its market leadership</a:t>
          </a:r>
          <a:r>
            <a:rPr lang="en-GB" baseline="0"/>
            <a:t> and </a:t>
          </a:r>
          <a:r>
            <a:rPr lang="en-GB"/>
            <a:t>higher operating margins.</a:t>
          </a:r>
          <a:endParaRPr lang="en-GB" sz="1100"/>
        </a:p>
      </xdr:txBody>
    </xdr:sp>
    <xdr:clientData/>
  </xdr:twoCellAnchor>
  <xdr:twoCellAnchor>
    <xdr:from>
      <xdr:col>15</xdr:col>
      <xdr:colOff>419223</xdr:colOff>
      <xdr:row>9</xdr:row>
      <xdr:rowOff>98641</xdr:rowOff>
    </xdr:from>
    <xdr:to>
      <xdr:col>20</xdr:col>
      <xdr:colOff>456213</xdr:colOff>
      <xdr:row>12</xdr:row>
      <xdr:rowOff>135631</xdr:rowOff>
    </xdr:to>
    <xdr:sp macro="" textlink="">
      <xdr:nvSpPr>
        <xdr:cNvPr id="2" name="TextBox 1">
          <a:extLst>
            <a:ext uri="{FF2B5EF4-FFF2-40B4-BE49-F238E27FC236}">
              <a16:creationId xmlns:a16="http://schemas.microsoft.com/office/drawing/2014/main" id="{BDCC6B10-B039-5707-9914-FF18940B53F6}"/>
            </a:ext>
          </a:extLst>
        </xdr:cNvPr>
        <xdr:cNvSpPr txBox="1"/>
      </xdr:nvSpPr>
      <xdr:spPr>
        <a:xfrm>
          <a:off x="18014272" y="2268738"/>
          <a:ext cx="4352524" cy="62883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t>Terminal</a:t>
          </a:r>
          <a:r>
            <a:rPr lang="en-GB" sz="1100" b="1" baseline="0"/>
            <a:t> Growth Rate: </a:t>
          </a:r>
          <a:r>
            <a:rPr lang="en-GB"/>
            <a:t>A 3% terminal growth rate reflects a sustainable expansion rate for an industry leader. Keeping it slightly below the projected 4% nominal GDP growth ensures the model remains conservative.</a:t>
          </a:r>
          <a:endParaRPr lang="en-GB" sz="1100" b="1"/>
        </a:p>
      </xdr:txBody>
    </xdr:sp>
    <xdr:clientData/>
  </xdr:twoCellAnchor>
  <xdr:twoCellAnchor>
    <xdr:from>
      <xdr:col>5</xdr:col>
      <xdr:colOff>14768</xdr:colOff>
      <xdr:row>51</xdr:row>
      <xdr:rowOff>147674</xdr:rowOff>
    </xdr:from>
    <xdr:to>
      <xdr:col>7</xdr:col>
      <xdr:colOff>738373</xdr:colOff>
      <xdr:row>54</xdr:row>
      <xdr:rowOff>162441</xdr:rowOff>
    </xdr:to>
    <xdr:sp macro="" textlink="">
      <xdr:nvSpPr>
        <xdr:cNvPr id="4" name="TextBox 3">
          <a:extLst>
            <a:ext uri="{FF2B5EF4-FFF2-40B4-BE49-F238E27FC236}">
              <a16:creationId xmlns:a16="http://schemas.microsoft.com/office/drawing/2014/main" id="{7CBEB92C-D614-BB6E-2DB5-6A6874E13F30}"/>
            </a:ext>
          </a:extLst>
        </xdr:cNvPr>
        <xdr:cNvSpPr txBox="1"/>
      </xdr:nvSpPr>
      <xdr:spPr>
        <a:xfrm>
          <a:off x="6143256" y="11134651"/>
          <a:ext cx="2997791" cy="6349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b="1"/>
            <a:t>Pre-tax cost of debt:</a:t>
          </a:r>
          <a:r>
            <a:rPr lang="en-GB" b="1" baseline="0"/>
            <a:t> </a:t>
          </a:r>
          <a:r>
            <a:rPr lang="en-GB" b="0" baseline="0"/>
            <a:t>R</a:t>
          </a:r>
          <a:r>
            <a:rPr lang="en-GB"/>
            <a:t>epresents the weighted average interest rate of all debt tranches listed</a:t>
          </a:r>
          <a:r>
            <a:rPr lang="en-GB" baseline="0"/>
            <a:t> on balance sheet</a:t>
          </a:r>
          <a:r>
            <a:rPr lang="en-GB"/>
            <a:t>.</a:t>
          </a:r>
          <a:endParaRPr lang="en-GB" sz="1100"/>
        </a:p>
      </xdr:txBody>
    </xdr:sp>
    <xdr:clientData/>
  </xdr:twoCellAnchor>
  <xdr:twoCellAnchor>
    <xdr:from>
      <xdr:col>6</xdr:col>
      <xdr:colOff>679303</xdr:colOff>
      <xdr:row>71</xdr:row>
      <xdr:rowOff>0</xdr:rowOff>
    </xdr:from>
    <xdr:to>
      <xdr:col>10</xdr:col>
      <xdr:colOff>502094</xdr:colOff>
      <xdr:row>77</xdr:row>
      <xdr:rowOff>118139</xdr:rowOff>
    </xdr:to>
    <xdr:sp macro="" textlink="">
      <xdr:nvSpPr>
        <xdr:cNvPr id="5" name="TextBox 4">
          <a:extLst>
            <a:ext uri="{FF2B5EF4-FFF2-40B4-BE49-F238E27FC236}">
              <a16:creationId xmlns:a16="http://schemas.microsoft.com/office/drawing/2014/main" id="{AFBC2FAE-62B4-D923-F5F5-C6776EB7F3D8}"/>
            </a:ext>
          </a:extLst>
        </xdr:cNvPr>
        <xdr:cNvSpPr txBox="1"/>
      </xdr:nvSpPr>
      <xdr:spPr>
        <a:xfrm>
          <a:off x="7944884" y="15121860"/>
          <a:ext cx="4371163" cy="135860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t>WACC:</a:t>
          </a:r>
          <a:r>
            <a:rPr lang="en-GB" sz="1100" b="1" baseline="0"/>
            <a:t> </a:t>
          </a:r>
          <a:r>
            <a:rPr lang="en-GB" sz="1100" b="0" baseline="0"/>
            <a:t>The WACC based on the median unlevered beta of peers, levered using the current capital structure has been used in the DCF. </a:t>
          </a:r>
          <a:r>
            <a:rPr lang="en-GB"/>
            <a:t>Historical beta was avoided because individual</a:t>
          </a:r>
          <a:r>
            <a:rPr lang="en-GB" baseline="0"/>
            <a:t> betas</a:t>
          </a:r>
          <a:r>
            <a:rPr lang="en-GB"/>
            <a:t> includes idiosyncratic noise that can distort true systematic risk. Instead, using the peer median unlevered beta captures pure industry operational risk. Relevering it with Compass’s actual capital structure (instead of a theoretical peer target) accurately mirrors the real risk of Compass Group's current balance sheet.</a:t>
          </a:r>
          <a:r>
            <a:rPr lang="en-GB" baseline="0"/>
            <a:t> </a:t>
          </a:r>
          <a:endParaRPr lang="en-GB" sz="1100" b="1"/>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12</xdr:col>
      <xdr:colOff>457200</xdr:colOff>
      <xdr:row>7</xdr:row>
      <xdr:rowOff>12700</xdr:rowOff>
    </xdr:from>
    <xdr:to>
      <xdr:col>15</xdr:col>
      <xdr:colOff>736600</xdr:colOff>
      <xdr:row>12</xdr:row>
      <xdr:rowOff>12700</xdr:rowOff>
    </xdr:to>
    <xdr:sp macro="" textlink="">
      <xdr:nvSpPr>
        <xdr:cNvPr id="2" name="TextBox 1">
          <a:extLst>
            <a:ext uri="{FF2B5EF4-FFF2-40B4-BE49-F238E27FC236}">
              <a16:creationId xmlns:a16="http://schemas.microsoft.com/office/drawing/2014/main" id="{A4ACC783-259A-AAF9-C362-836CE9F27B0F}"/>
            </a:ext>
          </a:extLst>
        </xdr:cNvPr>
        <xdr:cNvSpPr txBox="1"/>
      </xdr:nvSpPr>
      <xdr:spPr>
        <a:xfrm>
          <a:off x="12941300" y="1638300"/>
          <a:ext cx="3505200" cy="990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GB" sz="1100" b="1" i="0" u="none" strike="noStrike">
              <a:solidFill>
                <a:schemeClr val="dk1"/>
              </a:solidFill>
              <a:effectLst/>
              <a:latin typeface="+mn-lt"/>
              <a:ea typeface="+mn-ea"/>
              <a:cs typeface="+mn-cs"/>
            </a:rPr>
            <a:t>Revenue: </a:t>
          </a:r>
          <a:r>
            <a:rPr lang="en-GB" sz="1100" b="0" i="0" u="none" strike="noStrike">
              <a:solidFill>
                <a:schemeClr val="dk1"/>
              </a:solidFill>
              <a:effectLst/>
              <a:latin typeface="+mn-lt"/>
              <a:ea typeface="+mn-ea"/>
              <a:cs typeface="+mn-cs"/>
            </a:rPr>
            <a:t>Net new business growth is projected at 4.5% in line with targets stated in the annual report, before fading to 3.0% to reflect market maturation. Like-for-like growth is modeled at 1.0% to 1.5% for baseline organic growth, combined with a constant 2.0% inflation assumption.</a:t>
          </a:r>
          <a:r>
            <a:rPr lang="en-GB">
              <a:effectLst/>
            </a:rPr>
            <a:t> </a:t>
          </a:r>
        </a:p>
        <a:p>
          <a:endParaRPr lang="en-GB" sz="1100"/>
        </a:p>
      </xdr:txBody>
    </xdr:sp>
    <xdr:clientData/>
  </xdr:twoCellAnchor>
  <xdr:twoCellAnchor>
    <xdr:from>
      <xdr:col>12</xdr:col>
      <xdr:colOff>444500</xdr:colOff>
      <xdr:row>12</xdr:row>
      <xdr:rowOff>177800</xdr:rowOff>
    </xdr:from>
    <xdr:to>
      <xdr:col>17</xdr:col>
      <xdr:colOff>317500</xdr:colOff>
      <xdr:row>18</xdr:row>
      <xdr:rowOff>114300</xdr:rowOff>
    </xdr:to>
    <xdr:sp macro="" textlink="">
      <xdr:nvSpPr>
        <xdr:cNvPr id="3" name="TextBox 2">
          <a:extLst>
            <a:ext uri="{FF2B5EF4-FFF2-40B4-BE49-F238E27FC236}">
              <a16:creationId xmlns:a16="http://schemas.microsoft.com/office/drawing/2014/main" id="{A271C178-A3DC-55FB-B82F-C48AAA120F66}"/>
            </a:ext>
          </a:extLst>
        </xdr:cNvPr>
        <xdr:cNvSpPr txBox="1"/>
      </xdr:nvSpPr>
      <xdr:spPr>
        <a:xfrm>
          <a:off x="12928600" y="2794000"/>
          <a:ext cx="4749800" cy="1155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b="1"/>
            <a:t>Expenses:</a:t>
          </a:r>
          <a:r>
            <a:rPr lang="en-GB" b="1" baseline="0"/>
            <a:t> </a:t>
          </a:r>
          <a:r>
            <a:rPr lang="en-GB"/>
            <a:t>Direct costs are modeled to reflect the ongoing operating efficiencies,</a:t>
          </a:r>
          <a:r>
            <a:rPr lang="en-GB" baseline="0"/>
            <a:t> trending downward </a:t>
          </a:r>
          <a:r>
            <a:rPr lang="en-GB"/>
            <a:t>from 32.3% to a sustainable 30.0% of revenue. Conversely, SG&amp;A continues its slight upward trend from 58.5% before stabilizing at a flat 60.0% of revenue to reflect investments in overhead. Restructuring and integration</a:t>
          </a:r>
          <a:r>
            <a:rPr lang="en-GB" baseline="0"/>
            <a:t> Costs Forecasted as a flat rate based on a historical average to reflect non-recurring costs that are essentially recurrign for a large MNC liike Compass Group. </a:t>
          </a:r>
          <a:endParaRPr lang="en-GB" sz="1100"/>
        </a:p>
      </xdr:txBody>
    </xdr:sp>
    <xdr:clientData/>
  </xdr:twoCellAnchor>
  <xdr:twoCellAnchor>
    <xdr:from>
      <xdr:col>12</xdr:col>
      <xdr:colOff>444500</xdr:colOff>
      <xdr:row>19</xdr:row>
      <xdr:rowOff>38100</xdr:rowOff>
    </xdr:from>
    <xdr:to>
      <xdr:col>17</xdr:col>
      <xdr:colOff>736600</xdr:colOff>
      <xdr:row>21</xdr:row>
      <xdr:rowOff>76200</xdr:rowOff>
    </xdr:to>
    <xdr:sp macro="" textlink="">
      <xdr:nvSpPr>
        <xdr:cNvPr id="4" name="TextBox 3">
          <a:extLst>
            <a:ext uri="{FF2B5EF4-FFF2-40B4-BE49-F238E27FC236}">
              <a16:creationId xmlns:a16="http://schemas.microsoft.com/office/drawing/2014/main" id="{74A3895C-E2FA-9FCA-9AF5-D9AD8C52F14D}"/>
            </a:ext>
          </a:extLst>
        </xdr:cNvPr>
        <xdr:cNvSpPr txBox="1"/>
      </xdr:nvSpPr>
      <xdr:spPr>
        <a:xfrm>
          <a:off x="12928600" y="4076700"/>
          <a:ext cx="5168900" cy="444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b="1"/>
            <a:t>Income Tax: </a:t>
          </a:r>
          <a:r>
            <a:rPr lang="en-GB"/>
            <a:t>Effective</a:t>
          </a:r>
          <a:r>
            <a:rPr lang="en-GB" baseline="0"/>
            <a:t> tax rate h</a:t>
          </a:r>
          <a:r>
            <a:rPr lang="en-GB"/>
            <a:t>eld constant based on Compass Group's historical average rate to normalize for temporary tax items and reflect a baseline corporate tax rate.</a:t>
          </a:r>
          <a:endParaRPr lang="en-GB" sz="1100"/>
        </a:p>
      </xdr:txBody>
    </xdr:sp>
    <xdr:clientData/>
  </xdr:twoCellAnchor>
  <xdr:twoCellAnchor>
    <xdr:from>
      <xdr:col>12</xdr:col>
      <xdr:colOff>444500</xdr:colOff>
      <xdr:row>22</xdr:row>
      <xdr:rowOff>177800</xdr:rowOff>
    </xdr:from>
    <xdr:to>
      <xdr:col>16</xdr:col>
      <xdr:colOff>495300</xdr:colOff>
      <xdr:row>25</xdr:row>
      <xdr:rowOff>190500</xdr:rowOff>
    </xdr:to>
    <xdr:sp macro="" textlink="">
      <xdr:nvSpPr>
        <xdr:cNvPr id="5" name="TextBox 4">
          <a:extLst>
            <a:ext uri="{FF2B5EF4-FFF2-40B4-BE49-F238E27FC236}">
              <a16:creationId xmlns:a16="http://schemas.microsoft.com/office/drawing/2014/main" id="{731B9264-BF44-600B-8FC7-CD9D6732CEE6}"/>
            </a:ext>
          </a:extLst>
        </xdr:cNvPr>
        <xdr:cNvSpPr txBox="1"/>
      </xdr:nvSpPr>
      <xdr:spPr>
        <a:xfrm>
          <a:off x="12928600" y="4826000"/>
          <a:ext cx="4102100" cy="622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b="1"/>
            <a:t>Working</a:t>
          </a:r>
          <a:r>
            <a:rPr lang="en-GB" b="1" baseline="0"/>
            <a:t> Capital: </a:t>
          </a:r>
          <a:r>
            <a:rPr lang="en-GB"/>
            <a:t>Forecasted using historical averages to reflect a stable working capital cycle, assuming no structural changes to customer credit terms, inventory turnover, or supplier payment terms.</a:t>
          </a:r>
          <a:endParaRPr lang="en-GB" sz="1100"/>
        </a:p>
      </xdr:txBody>
    </xdr:sp>
    <xdr:clientData/>
  </xdr:twoCellAnchor>
  <xdr:twoCellAnchor>
    <xdr:from>
      <xdr:col>12</xdr:col>
      <xdr:colOff>431800</xdr:colOff>
      <xdr:row>26</xdr:row>
      <xdr:rowOff>63500</xdr:rowOff>
    </xdr:from>
    <xdr:to>
      <xdr:col>17</xdr:col>
      <xdr:colOff>381000</xdr:colOff>
      <xdr:row>29</xdr:row>
      <xdr:rowOff>63500</xdr:rowOff>
    </xdr:to>
    <xdr:sp macro="" textlink="">
      <xdr:nvSpPr>
        <xdr:cNvPr id="6" name="TextBox 5">
          <a:extLst>
            <a:ext uri="{FF2B5EF4-FFF2-40B4-BE49-F238E27FC236}">
              <a16:creationId xmlns:a16="http://schemas.microsoft.com/office/drawing/2014/main" id="{CB8540B8-B692-BC67-921A-001713F824D2}"/>
            </a:ext>
          </a:extLst>
        </xdr:cNvPr>
        <xdr:cNvSpPr txBox="1"/>
      </xdr:nvSpPr>
      <xdr:spPr>
        <a:xfrm>
          <a:off x="12915900" y="5524500"/>
          <a:ext cx="4826000" cy="609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b="1"/>
            <a:t>Other Operational Assets and Liabilities: </a:t>
          </a:r>
          <a:r>
            <a:rPr lang="en-GB"/>
            <a:t>Forecasted as fixed percentages of Revenue and Total Expenses respectively, ensuring non-trade operational balances scale naturally alongside top-line expansion and underlying operating costs.</a:t>
          </a:r>
          <a:endParaRPr lang="en-GB" sz="1100"/>
        </a:p>
      </xdr:txBody>
    </xdr:sp>
    <xdr:clientData/>
  </xdr:twoCellAnchor>
  <xdr:twoCellAnchor>
    <xdr:from>
      <xdr:col>12</xdr:col>
      <xdr:colOff>431800</xdr:colOff>
      <xdr:row>29</xdr:row>
      <xdr:rowOff>101600</xdr:rowOff>
    </xdr:from>
    <xdr:to>
      <xdr:col>17</xdr:col>
      <xdr:colOff>241300</xdr:colOff>
      <xdr:row>32</xdr:row>
      <xdr:rowOff>101600</xdr:rowOff>
    </xdr:to>
    <xdr:sp macro="" textlink="">
      <xdr:nvSpPr>
        <xdr:cNvPr id="7" name="TextBox 6">
          <a:extLst>
            <a:ext uri="{FF2B5EF4-FFF2-40B4-BE49-F238E27FC236}">
              <a16:creationId xmlns:a16="http://schemas.microsoft.com/office/drawing/2014/main" id="{ADB53FD7-6DF5-187D-0475-4A5ABA1B4077}"/>
            </a:ext>
          </a:extLst>
        </xdr:cNvPr>
        <xdr:cNvSpPr txBox="1"/>
      </xdr:nvSpPr>
      <xdr:spPr>
        <a:xfrm>
          <a:off x="12915900" y="6172200"/>
          <a:ext cx="4686300" cy="609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b="1"/>
            <a:t>Other Long</a:t>
          </a:r>
          <a:r>
            <a:rPr lang="en-GB" b="1" baseline="0"/>
            <a:t>-Term Assets and Liabilites: </a:t>
          </a:r>
          <a:r>
            <a:rPr lang="en-GB"/>
            <a:t>Long-term liabilities scale with total expenses to reflect growing long-term operational obligations, while long-term assets grow at their historical average rate to reflect long-term investment trends.</a:t>
          </a:r>
          <a:endParaRPr lang="en-GB" sz="1100"/>
        </a:p>
      </xdr:txBody>
    </xdr:sp>
    <xdr:clientData/>
  </xdr:twoCellAnchor>
  <xdr:twoCellAnchor>
    <xdr:from>
      <xdr:col>12</xdr:col>
      <xdr:colOff>431800</xdr:colOff>
      <xdr:row>34</xdr:row>
      <xdr:rowOff>12700</xdr:rowOff>
    </xdr:from>
    <xdr:to>
      <xdr:col>17</xdr:col>
      <xdr:colOff>546100</xdr:colOff>
      <xdr:row>36</xdr:row>
      <xdr:rowOff>63500</xdr:rowOff>
    </xdr:to>
    <xdr:sp macro="" textlink="">
      <xdr:nvSpPr>
        <xdr:cNvPr id="8" name="TextBox 7">
          <a:extLst>
            <a:ext uri="{FF2B5EF4-FFF2-40B4-BE49-F238E27FC236}">
              <a16:creationId xmlns:a16="http://schemas.microsoft.com/office/drawing/2014/main" id="{1E4C8DA4-A263-5F94-EF9C-35FA28D16828}"/>
            </a:ext>
          </a:extLst>
        </xdr:cNvPr>
        <xdr:cNvSpPr txBox="1"/>
      </xdr:nvSpPr>
      <xdr:spPr>
        <a:xfrm>
          <a:off x="12915900" y="7099300"/>
          <a:ext cx="4991100" cy="457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b="1"/>
            <a:t>Dividends:</a:t>
          </a:r>
          <a:r>
            <a:rPr lang="en-GB" b="1" baseline="0"/>
            <a:t> </a:t>
          </a:r>
          <a:r>
            <a:rPr lang="en-GB"/>
            <a:t>Held constant based on historical payout levels and management policy, reflecting a commitment to deliver predictable dividends</a:t>
          </a:r>
          <a:r>
            <a:rPr lang="en-GB" baseline="0"/>
            <a:t> that grow </a:t>
          </a:r>
          <a:r>
            <a:rPr lang="en-GB"/>
            <a:t>alongside earnings.</a:t>
          </a:r>
          <a:endParaRPr lang="en-GB" sz="1100"/>
        </a:p>
      </xdr:txBody>
    </xdr:sp>
    <xdr:clientData/>
  </xdr:twoCellAnchor>
  <xdr:twoCellAnchor>
    <xdr:from>
      <xdr:col>12</xdr:col>
      <xdr:colOff>431800</xdr:colOff>
      <xdr:row>36</xdr:row>
      <xdr:rowOff>139700</xdr:rowOff>
    </xdr:from>
    <xdr:to>
      <xdr:col>16</xdr:col>
      <xdr:colOff>558800</xdr:colOff>
      <xdr:row>38</xdr:row>
      <xdr:rowOff>177800</xdr:rowOff>
    </xdr:to>
    <xdr:sp macro="" textlink="">
      <xdr:nvSpPr>
        <xdr:cNvPr id="9" name="TextBox 8">
          <a:extLst>
            <a:ext uri="{FF2B5EF4-FFF2-40B4-BE49-F238E27FC236}">
              <a16:creationId xmlns:a16="http://schemas.microsoft.com/office/drawing/2014/main" id="{0E9F0DA3-0ED9-E314-F815-D2FC2DFBD36F}"/>
            </a:ext>
          </a:extLst>
        </xdr:cNvPr>
        <xdr:cNvSpPr txBox="1"/>
      </xdr:nvSpPr>
      <xdr:spPr>
        <a:xfrm>
          <a:off x="12915900" y="7632700"/>
          <a:ext cx="4178300" cy="444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b="1"/>
            <a:t>Stock</a:t>
          </a:r>
          <a:r>
            <a:rPr lang="en-GB" b="1" baseline="0"/>
            <a:t> Repurchases: </a:t>
          </a:r>
          <a:r>
            <a:rPr lang="en-GB"/>
            <a:t>Modeled at 25% of net income so that shareholder returns scale naturally with the company's bottom line profitability.</a:t>
          </a:r>
          <a:endParaRPr lang="en-GB" sz="1100"/>
        </a:p>
      </xdr:txBody>
    </xdr:sp>
    <xdr:clientData/>
  </xdr:twoCellAnchor>
  <xdr:twoCellAnchor>
    <xdr:from>
      <xdr:col>12</xdr:col>
      <xdr:colOff>457200</xdr:colOff>
      <xdr:row>78</xdr:row>
      <xdr:rowOff>50800</xdr:rowOff>
    </xdr:from>
    <xdr:to>
      <xdr:col>14</xdr:col>
      <xdr:colOff>723900</xdr:colOff>
      <xdr:row>83</xdr:row>
      <xdr:rowOff>63500</xdr:rowOff>
    </xdr:to>
    <xdr:sp macro="" textlink="">
      <xdr:nvSpPr>
        <xdr:cNvPr id="11" name="TextBox 10">
          <a:extLst>
            <a:ext uri="{FF2B5EF4-FFF2-40B4-BE49-F238E27FC236}">
              <a16:creationId xmlns:a16="http://schemas.microsoft.com/office/drawing/2014/main" id="{317F46F7-43AF-E519-6846-C000FE179785}"/>
            </a:ext>
          </a:extLst>
        </xdr:cNvPr>
        <xdr:cNvSpPr txBox="1"/>
      </xdr:nvSpPr>
      <xdr:spPr>
        <a:xfrm>
          <a:off x="12941300" y="17297400"/>
          <a:ext cx="2667000" cy="1028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b="1"/>
            <a:t>NCA</a:t>
          </a:r>
          <a:r>
            <a:rPr lang="en-GB" b="1" baseline="0"/>
            <a:t>'s: </a:t>
          </a:r>
          <a:r>
            <a:rPr lang="en-GB"/>
            <a:t>CapEx as a percentage of revenue increases modestly over the forecast horizon to account for expanding technology and unit investment demands, with D&amp;A pacing alongside the growing gross asset base.</a:t>
          </a:r>
          <a:endParaRPr lang="en-GB" sz="1100"/>
        </a:p>
      </xdr:txBody>
    </xdr:sp>
    <xdr:clientData/>
  </xdr:twoCellAnchor>
  <xdr:twoCellAnchor>
    <xdr:from>
      <xdr:col>12</xdr:col>
      <xdr:colOff>520700</xdr:colOff>
      <xdr:row>103</xdr:row>
      <xdr:rowOff>25400</xdr:rowOff>
    </xdr:from>
    <xdr:to>
      <xdr:col>14</xdr:col>
      <xdr:colOff>685800</xdr:colOff>
      <xdr:row>111</xdr:row>
      <xdr:rowOff>101600</xdr:rowOff>
    </xdr:to>
    <xdr:sp macro="" textlink="">
      <xdr:nvSpPr>
        <xdr:cNvPr id="12" name="TextBox 11">
          <a:extLst>
            <a:ext uri="{FF2B5EF4-FFF2-40B4-BE49-F238E27FC236}">
              <a16:creationId xmlns:a16="http://schemas.microsoft.com/office/drawing/2014/main" id="{B4390E40-61ED-8B1E-812B-ED3EE1347391}"/>
            </a:ext>
          </a:extLst>
        </xdr:cNvPr>
        <xdr:cNvSpPr txBox="1"/>
      </xdr:nvSpPr>
      <xdr:spPr>
        <a:xfrm>
          <a:off x="13004800" y="20726400"/>
          <a:ext cx="2565400" cy="1701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b="1"/>
            <a:t>Leases:</a:t>
          </a:r>
          <a:r>
            <a:rPr lang="en-GB" b="1" baseline="0"/>
            <a:t> </a:t>
          </a:r>
          <a:r>
            <a:rPr lang="en-GB"/>
            <a:t>New lease additions grow at 2% per year to reflect routine contract renewals and baseline inflation. Balance sheet lease liabilities roll forward based on these new additions minus principal repayments, with P&amp;L expenses (interest and depreciation) and cash payments calculated directly as fixed historical percentages of total lease liability.</a:t>
          </a:r>
          <a:endParaRPr lang="en-GB" sz="1100"/>
        </a:p>
      </xdr:txBody>
    </xdr:sp>
    <xdr:clientData/>
  </xdr:twoCellAnchor>
  <xdr:twoCellAnchor>
    <xdr:from>
      <xdr:col>12</xdr:col>
      <xdr:colOff>431800</xdr:colOff>
      <xdr:row>47</xdr:row>
      <xdr:rowOff>114300</xdr:rowOff>
    </xdr:from>
    <xdr:to>
      <xdr:col>15</xdr:col>
      <xdr:colOff>203200</xdr:colOff>
      <xdr:row>53</xdr:row>
      <xdr:rowOff>50800</xdr:rowOff>
    </xdr:to>
    <xdr:sp macro="" textlink="">
      <xdr:nvSpPr>
        <xdr:cNvPr id="13" name="TextBox 12">
          <a:extLst>
            <a:ext uri="{FF2B5EF4-FFF2-40B4-BE49-F238E27FC236}">
              <a16:creationId xmlns:a16="http://schemas.microsoft.com/office/drawing/2014/main" id="{88DA9D31-C8A5-A03A-7E23-9BB8BB8DDAE7}"/>
            </a:ext>
          </a:extLst>
        </xdr:cNvPr>
        <xdr:cNvSpPr txBox="1"/>
      </xdr:nvSpPr>
      <xdr:spPr>
        <a:xfrm>
          <a:off x="12915900" y="9842500"/>
          <a:ext cx="2997200" cy="1155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b="1"/>
            <a:t>Debt</a:t>
          </a:r>
          <a:r>
            <a:rPr lang="en-GB" b="1" baseline="0"/>
            <a:t> and Interest Rates: </a:t>
          </a:r>
          <a:r>
            <a:rPr lang="en-GB"/>
            <a:t>The model applies a weighted average interest rate to capture the cost of existing debt tranches. Maturing debt is projected to fully refinance rather than pay down, keeping the overall debt balance flat while the business naturally delevers over time.</a:t>
          </a:r>
          <a:endParaRPr lang="en-GB" sz="1100"/>
        </a:p>
      </xdr:txBody>
    </xdr:sp>
    <xdr:clientData/>
  </xdr:twoCellAnchor>
  <xdr:twoCellAnchor>
    <xdr:from>
      <xdr:col>12</xdr:col>
      <xdr:colOff>469900</xdr:colOff>
      <xdr:row>68</xdr:row>
      <xdr:rowOff>12700</xdr:rowOff>
    </xdr:from>
    <xdr:to>
      <xdr:col>16</xdr:col>
      <xdr:colOff>190500</xdr:colOff>
      <xdr:row>71</xdr:row>
      <xdr:rowOff>12700</xdr:rowOff>
    </xdr:to>
    <xdr:sp macro="" textlink="">
      <xdr:nvSpPr>
        <xdr:cNvPr id="14" name="TextBox 13">
          <a:extLst>
            <a:ext uri="{FF2B5EF4-FFF2-40B4-BE49-F238E27FC236}">
              <a16:creationId xmlns:a16="http://schemas.microsoft.com/office/drawing/2014/main" id="{7F0A6EC5-1DC9-D16A-274A-20CACE0AAB09}"/>
            </a:ext>
          </a:extLst>
        </xdr:cNvPr>
        <xdr:cNvSpPr txBox="1"/>
      </xdr:nvSpPr>
      <xdr:spPr>
        <a:xfrm>
          <a:off x="12954000" y="15227300"/>
          <a:ext cx="3771900" cy="609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b="1"/>
            <a:t>Money</a:t>
          </a:r>
          <a:r>
            <a:rPr lang="en-GB" b="1" baseline="0"/>
            <a:t> Market Rate: </a:t>
          </a:r>
          <a:r>
            <a:rPr lang="en-GB"/>
            <a:t>Applied to cash and cash equivalents to project baseline interest income, reflecting market yields on short-term liquid reserves.</a:t>
          </a:r>
          <a:endParaRPr lang="en-GB" sz="1100"/>
        </a:p>
      </xdr:txBody>
    </xdr:sp>
    <xdr:clientData/>
  </xdr:twoCellAnchor>
  <xdr:twoCellAnchor>
    <xdr:from>
      <xdr:col>12</xdr:col>
      <xdr:colOff>444503</xdr:colOff>
      <xdr:row>227</xdr:row>
      <xdr:rowOff>173566</xdr:rowOff>
    </xdr:from>
    <xdr:to>
      <xdr:col>16</xdr:col>
      <xdr:colOff>685800</xdr:colOff>
      <xdr:row>232</xdr:row>
      <xdr:rowOff>101600</xdr:rowOff>
    </xdr:to>
    <xdr:sp macro="" textlink="">
      <xdr:nvSpPr>
        <xdr:cNvPr id="10" name="TextBox 9">
          <a:extLst>
            <a:ext uri="{FF2B5EF4-FFF2-40B4-BE49-F238E27FC236}">
              <a16:creationId xmlns:a16="http://schemas.microsoft.com/office/drawing/2014/main" id="{5646C7ED-E1C3-A097-D5BF-F7C239648373}"/>
            </a:ext>
          </a:extLst>
        </xdr:cNvPr>
        <xdr:cNvSpPr txBox="1"/>
      </xdr:nvSpPr>
      <xdr:spPr>
        <a:xfrm>
          <a:off x="12928603" y="46604766"/>
          <a:ext cx="4292597" cy="94403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GB" sz="1100" b="1" i="0" u="none" strike="noStrike">
              <a:solidFill>
                <a:schemeClr val="dk1"/>
              </a:solidFill>
              <a:effectLst/>
              <a:latin typeface="+mn-lt"/>
              <a:ea typeface="+mn-ea"/>
              <a:cs typeface="+mn-cs"/>
            </a:rPr>
            <a:t>Net Debt / EBITDA Inference:</a:t>
          </a:r>
          <a:r>
            <a:rPr lang="en-GB" sz="1100" b="0" i="0" u="none" strike="noStrike">
              <a:solidFill>
                <a:schemeClr val="dk1"/>
              </a:solidFill>
              <a:effectLst/>
              <a:latin typeface="+mn-lt"/>
              <a:ea typeface="+mn-ea"/>
              <a:cs typeface="+mn-cs"/>
            </a:rPr>
            <a:t> Under our 3-statement forecast, Compass Group's strong cash flow causes Net Debt / EBITDA to trend below management's target of 1.0x–1.5x. This demonstrates that the company's  operations generate enough cash to satisfy all debt obligations while creating substantial headroom for unmodeled additions</a:t>
          </a:r>
          <a:r>
            <a:rPr lang="en-GB" sz="1100" b="0" i="0" u="none" strike="noStrike" baseline="0">
              <a:solidFill>
                <a:schemeClr val="dk1"/>
              </a:solidFill>
              <a:effectLst/>
              <a:latin typeface="+mn-lt"/>
              <a:ea typeface="+mn-ea"/>
              <a:cs typeface="+mn-cs"/>
            </a:rPr>
            <a:t> to debt. </a:t>
          </a:r>
          <a:endParaRPr lang="en-GB">
            <a:effectLst/>
          </a:endParaRPr>
        </a:p>
        <a:p>
          <a:endParaRPr lang="en-GB"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109755</xdr:colOff>
      <xdr:row>0</xdr:row>
      <xdr:rowOff>172469</xdr:rowOff>
    </xdr:from>
    <xdr:to>
      <xdr:col>3</xdr:col>
      <xdr:colOff>533086</xdr:colOff>
      <xdr:row>5</xdr:row>
      <xdr:rowOff>125432</xdr:rowOff>
    </xdr:to>
    <xdr:sp macro="" textlink="">
      <xdr:nvSpPr>
        <xdr:cNvPr id="2" name="TextBox 1">
          <a:extLst>
            <a:ext uri="{FF2B5EF4-FFF2-40B4-BE49-F238E27FC236}">
              <a16:creationId xmlns:a16="http://schemas.microsoft.com/office/drawing/2014/main" id="{909A0862-BF5E-787F-6487-6633874C1CC8}"/>
            </a:ext>
          </a:extLst>
        </xdr:cNvPr>
        <xdr:cNvSpPr txBox="1"/>
      </xdr:nvSpPr>
      <xdr:spPr>
        <a:xfrm>
          <a:off x="313582" y="172469"/>
          <a:ext cx="3762961" cy="9720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a:t>Financial metrics were sourced directly from MarketScreener, Yahoo Finance, and the respective companies' latest annual and quarterly reports to calculate the valuation multiples. Projected figures reflect consensus analyst estimates pulled from these platforms.</a:t>
          </a:r>
          <a:endParaRPr lang="en-GB" sz="1100"/>
        </a:p>
      </xdr:txBody>
    </xdr:sp>
    <xdr:clientData/>
  </xdr:twoCellAnchor>
  <xdr:twoCellAnchor>
    <xdr:from>
      <xdr:col>4</xdr:col>
      <xdr:colOff>391975</xdr:colOff>
      <xdr:row>2</xdr:row>
      <xdr:rowOff>62716</xdr:rowOff>
    </xdr:from>
    <xdr:to>
      <xdr:col>8</xdr:col>
      <xdr:colOff>486049</xdr:colOff>
      <xdr:row>5</xdr:row>
      <xdr:rowOff>109753</xdr:rowOff>
    </xdr:to>
    <xdr:sp macro="" textlink="">
      <xdr:nvSpPr>
        <xdr:cNvPr id="3" name="TextBox 2">
          <a:extLst>
            <a:ext uri="{FF2B5EF4-FFF2-40B4-BE49-F238E27FC236}">
              <a16:creationId xmlns:a16="http://schemas.microsoft.com/office/drawing/2014/main" id="{3792E884-263E-487F-7ED0-BBD29AC013A2}"/>
            </a:ext>
          </a:extLst>
        </xdr:cNvPr>
        <xdr:cNvSpPr txBox="1"/>
      </xdr:nvSpPr>
      <xdr:spPr>
        <a:xfrm>
          <a:off x="4766419" y="470370"/>
          <a:ext cx="3418025" cy="65851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a:t>All non-USD financial data for foreign peers has been converted into USD using current spot exchange rates to ensure consistency across all comparative metrics.</a:t>
          </a:r>
          <a:endParaRPr lang="en-GB"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7</xdr:col>
      <xdr:colOff>780362</xdr:colOff>
      <xdr:row>1</xdr:row>
      <xdr:rowOff>107109</xdr:rowOff>
    </xdr:from>
    <xdr:to>
      <xdr:col>11</xdr:col>
      <xdr:colOff>107109</xdr:colOff>
      <xdr:row>4</xdr:row>
      <xdr:rowOff>137711</xdr:rowOff>
    </xdr:to>
    <xdr:sp macro="" textlink="">
      <xdr:nvSpPr>
        <xdr:cNvPr id="2" name="TextBox 1">
          <a:extLst>
            <a:ext uri="{FF2B5EF4-FFF2-40B4-BE49-F238E27FC236}">
              <a16:creationId xmlns:a16="http://schemas.microsoft.com/office/drawing/2014/main" id="{43981D19-FB34-5C4D-BD20-E69EDBB7CD59}"/>
            </a:ext>
          </a:extLst>
        </xdr:cNvPr>
        <xdr:cNvSpPr txBox="1"/>
      </xdr:nvSpPr>
      <xdr:spPr>
        <a:xfrm>
          <a:off x="8415663" y="703856"/>
          <a:ext cx="2738916" cy="62734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b="1"/>
            <a:t>Share</a:t>
          </a:r>
          <a:r>
            <a:rPr lang="en-GB" b="1" baseline="0"/>
            <a:t> Price premium: </a:t>
          </a:r>
          <a:r>
            <a:rPr lang="en-GB"/>
            <a:t>A 25% purchase price premium reflects standard private equity practice for Public-to-Private  transactions. </a:t>
          </a:r>
          <a:endParaRPr lang="en-GB" sz="1100"/>
        </a:p>
      </xdr:txBody>
    </xdr:sp>
    <xdr:clientData/>
  </xdr:twoCellAnchor>
  <xdr:twoCellAnchor>
    <xdr:from>
      <xdr:col>7</xdr:col>
      <xdr:colOff>765058</xdr:colOff>
      <xdr:row>5</xdr:row>
      <xdr:rowOff>61204</xdr:rowOff>
    </xdr:from>
    <xdr:to>
      <xdr:col>12</xdr:col>
      <xdr:colOff>168311</xdr:colOff>
      <xdr:row>9</xdr:row>
      <xdr:rowOff>81643</xdr:rowOff>
    </xdr:to>
    <xdr:sp macro="" textlink="">
      <xdr:nvSpPr>
        <xdr:cNvPr id="3" name="TextBox 2">
          <a:extLst>
            <a:ext uri="{FF2B5EF4-FFF2-40B4-BE49-F238E27FC236}">
              <a16:creationId xmlns:a16="http://schemas.microsoft.com/office/drawing/2014/main" id="{81D19309-3923-3378-FCE5-A46600CAC3ED}"/>
            </a:ext>
          </a:extLst>
        </xdr:cNvPr>
        <xdr:cNvSpPr txBox="1"/>
      </xdr:nvSpPr>
      <xdr:spPr>
        <a:xfrm>
          <a:off x="8385058" y="1458204"/>
          <a:ext cx="3630539" cy="818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GB" sz="1100" b="1"/>
            <a:t>Fees</a:t>
          </a:r>
          <a:r>
            <a:rPr lang="en-GB" sz="1100" b="1" baseline="0"/>
            <a:t> and Other: </a:t>
          </a:r>
          <a:r>
            <a:rPr lang="en-GB"/>
            <a:t>Transaction fees align with standard institutional buyout benchmarks. Debt issuance fees of 2.0% are capitalized on the balance sheet and amortized straight-line over a 7-year period to match the debt maturity profile.</a:t>
          </a:r>
          <a:endParaRPr lang="en-GB" sz="1100" b="1"/>
        </a:p>
      </xdr:txBody>
    </xdr:sp>
    <xdr:clientData/>
  </xdr:twoCellAnchor>
  <xdr:twoCellAnchor>
    <xdr:from>
      <xdr:col>7</xdr:col>
      <xdr:colOff>765061</xdr:colOff>
      <xdr:row>10</xdr:row>
      <xdr:rowOff>14099</xdr:rowOff>
    </xdr:from>
    <xdr:to>
      <xdr:col>11</xdr:col>
      <xdr:colOff>406400</xdr:colOff>
      <xdr:row>14</xdr:row>
      <xdr:rowOff>157117</xdr:rowOff>
    </xdr:to>
    <xdr:sp macro="" textlink="">
      <xdr:nvSpPr>
        <xdr:cNvPr id="4" name="TextBox 3">
          <a:extLst>
            <a:ext uri="{FF2B5EF4-FFF2-40B4-BE49-F238E27FC236}">
              <a16:creationId xmlns:a16="http://schemas.microsoft.com/office/drawing/2014/main" id="{CFE09D4F-17F6-950F-F317-0C51154A8C9F}"/>
            </a:ext>
          </a:extLst>
        </xdr:cNvPr>
        <xdr:cNvSpPr txBox="1"/>
      </xdr:nvSpPr>
      <xdr:spPr>
        <a:xfrm>
          <a:off x="8400180" y="2176123"/>
          <a:ext cx="3617649" cy="92920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b="1"/>
            <a:t>Minimum</a:t>
          </a:r>
          <a:r>
            <a:rPr lang="en-GB" b="1" baseline="0"/>
            <a:t> Cash and Management Rollover: </a:t>
          </a:r>
          <a:r>
            <a:rPr lang="en-GB"/>
            <a:t>A 10% management rollover is assumed to align executive incentives with the PE sponsor. A $300M minimum cash buffer is maintained on the balance sheet to support daily working capital requirements.</a:t>
          </a:r>
          <a:endParaRPr lang="en-GB" sz="1100"/>
        </a:p>
      </xdr:txBody>
    </xdr:sp>
    <xdr:clientData/>
  </xdr:twoCellAnchor>
  <xdr:twoCellAnchor>
    <xdr:from>
      <xdr:col>12</xdr:col>
      <xdr:colOff>639810</xdr:colOff>
      <xdr:row>34</xdr:row>
      <xdr:rowOff>28863</xdr:rowOff>
    </xdr:from>
    <xdr:to>
      <xdr:col>17</xdr:col>
      <xdr:colOff>573616</xdr:colOff>
      <xdr:row>41</xdr:row>
      <xdr:rowOff>139699</xdr:rowOff>
    </xdr:to>
    <xdr:sp macro="" textlink="">
      <xdr:nvSpPr>
        <xdr:cNvPr id="5" name="TextBox 4">
          <a:extLst>
            <a:ext uri="{FF2B5EF4-FFF2-40B4-BE49-F238E27FC236}">
              <a16:creationId xmlns:a16="http://schemas.microsoft.com/office/drawing/2014/main" id="{D9490E14-CCE8-82AC-4316-E652A0C38EA1}"/>
            </a:ext>
          </a:extLst>
        </xdr:cNvPr>
        <xdr:cNvSpPr txBox="1"/>
      </xdr:nvSpPr>
      <xdr:spPr>
        <a:xfrm>
          <a:off x="13128143" y="7648863"/>
          <a:ext cx="4078945" cy="159250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b="1"/>
            <a:t>Sources:</a:t>
          </a:r>
          <a:r>
            <a:rPr lang="en-GB" b="1" baseline="0"/>
            <a:t> </a:t>
          </a:r>
          <a:r>
            <a:rPr lang="en-GB"/>
            <a:t>Total leverage is capped at 37.6% of total sources because pushing debt closer to the traditional ~60% LBO benchmark would make debt service requirements unmanageably high. In the current high interest rate environment,</a:t>
          </a:r>
          <a:r>
            <a:rPr lang="en-GB" baseline="0"/>
            <a:t> </a:t>
          </a:r>
          <a:r>
            <a:rPr lang="en-GB"/>
            <a:t>borrowing costs remain elevated</a:t>
          </a:r>
          <a:r>
            <a:rPr lang="en-GB" baseline="0"/>
            <a:t> meaning t</a:t>
          </a:r>
          <a:r>
            <a:rPr lang="en-GB"/>
            <a:t>aking on additional debt against a 17.3x entry multiple would create excessive annual interest expense, severely constricting free cash flow and risking debt service coverage. The debt financing is structured in line with standard institutional LBO tranches.</a:t>
          </a:r>
          <a:endParaRPr lang="en-GB" sz="1100"/>
        </a:p>
      </xdr:txBody>
    </xdr:sp>
    <xdr:clientData/>
  </xdr:twoCellAnchor>
  <xdr:twoCellAnchor>
    <xdr:from>
      <xdr:col>15</xdr:col>
      <xdr:colOff>787545</xdr:colOff>
      <xdr:row>176</xdr:row>
      <xdr:rowOff>194879</xdr:rowOff>
    </xdr:from>
    <xdr:to>
      <xdr:col>20</xdr:col>
      <xdr:colOff>762000</xdr:colOff>
      <xdr:row>196</xdr:row>
      <xdr:rowOff>42334</xdr:rowOff>
    </xdr:to>
    <xdr:sp macro="" textlink="">
      <xdr:nvSpPr>
        <xdr:cNvPr id="6" name="TextBox 5">
          <a:extLst>
            <a:ext uri="{FF2B5EF4-FFF2-40B4-BE49-F238E27FC236}">
              <a16:creationId xmlns:a16="http://schemas.microsoft.com/office/drawing/2014/main" id="{2C1DCB01-C9FD-D24F-F828-7D70A88D4A76}"/>
            </a:ext>
          </a:extLst>
        </xdr:cNvPr>
        <xdr:cNvSpPr txBox="1"/>
      </xdr:nvSpPr>
      <xdr:spPr>
        <a:xfrm>
          <a:off x="15731212" y="37871546"/>
          <a:ext cx="4101955" cy="408078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r>
            <a:rPr lang="en-GB" b="1">
              <a:effectLst/>
            </a:rPr>
            <a:t>Interest Rate Mechanics</a:t>
          </a:r>
          <a:r>
            <a:rPr lang="en-GB" b="0">
              <a:effectLst/>
            </a:rPr>
            <a:t>:</a:t>
          </a:r>
          <a:r>
            <a:rPr lang="en-GB" b="0" baseline="0">
              <a:effectLst/>
            </a:rPr>
            <a:t> </a:t>
          </a:r>
          <a:r>
            <a:rPr lang="en-GB">
              <a:effectLst/>
            </a:rPr>
            <a:t>Senior facilities (Revolver, TLA, TLB) use floating rates tied to the UK Base Rate plus a risk spread, backed by benchmark floors that protect lender yields if base rates drop. Subordinated Notes carry a fixed rate split between cash interest and a Payment-in-Kind margin, while cash holdings earn interest based on a standard money-market rate.</a:t>
          </a:r>
        </a:p>
        <a:p>
          <a:pPr rtl="0"/>
          <a:endParaRPr lang="en-GB">
            <a:effectLst/>
          </a:endParaRPr>
        </a:p>
        <a:p>
          <a:pPr rtl="0"/>
          <a:r>
            <a:rPr lang="en-GB" b="1">
              <a:effectLst/>
            </a:rPr>
            <a:t>Mandatory Repayments</a:t>
          </a:r>
          <a:r>
            <a:rPr lang="en-GB" b="0">
              <a:effectLst/>
            </a:rPr>
            <a:t>:</a:t>
          </a:r>
          <a:r>
            <a:rPr lang="en-GB" b="0" baseline="0">
              <a:effectLst/>
            </a:rPr>
            <a:t> </a:t>
          </a:r>
          <a:r>
            <a:rPr lang="en-GB">
              <a:effectLst/>
            </a:rPr>
            <a:t>Mandatory paydowns reflect standard lender structures. Term Loan A mandates aggressive annual amortization (10%) to drive early repayments. Term Loan B requires minimal annual amortization (1%),</a:t>
          </a:r>
          <a:r>
            <a:rPr lang="en-GB" baseline="0">
              <a:effectLst/>
            </a:rPr>
            <a:t> allowing institutional investors to keep capital deployed longer.</a:t>
          </a:r>
        </a:p>
        <a:p>
          <a:pPr rtl="0"/>
          <a:endParaRPr lang="en-GB">
            <a:effectLst/>
          </a:endParaRPr>
        </a:p>
        <a:p>
          <a:pPr marL="0" marR="0" indent="0" defTabSz="914400" rtl="0" eaLnBrk="1" fontAlgn="auto" latinLnBrk="0" hangingPunct="1">
            <a:lnSpc>
              <a:spcPct val="100000"/>
            </a:lnSpc>
            <a:spcBef>
              <a:spcPts val="0"/>
            </a:spcBef>
            <a:spcAft>
              <a:spcPts val="0"/>
            </a:spcAft>
            <a:buClrTx/>
            <a:buSzTx/>
            <a:buFontTx/>
            <a:buNone/>
            <a:tabLst/>
            <a:defRPr/>
          </a:pPr>
          <a:r>
            <a:rPr lang="en-GB" b="1">
              <a:effectLst/>
            </a:rPr>
            <a:t>Optional Prepayments</a:t>
          </a:r>
          <a:r>
            <a:rPr lang="en-GB" b="0">
              <a:effectLst/>
            </a:rPr>
            <a:t>:</a:t>
          </a:r>
          <a:r>
            <a:rPr lang="en-GB" b="0" baseline="0">
              <a:effectLst/>
            </a:rPr>
            <a:t> </a:t>
          </a:r>
          <a:r>
            <a:rPr lang="en-GB"/>
            <a:t>Once mandatory debt service and Revolver balances are cleared, excess cash flow enters a sweep</a:t>
          </a:r>
          <a:r>
            <a:rPr lang="en-GB" baseline="0"/>
            <a:t> where</a:t>
          </a:r>
          <a:r>
            <a:rPr lang="en-GB"/>
            <a:t> 50% of available cash flow prepays Term Loan A, and 50% of the </a:t>
          </a:r>
          <a:r>
            <a:rPr lang="en-GB" i="0"/>
            <a:t>remaining</a:t>
          </a:r>
          <a:r>
            <a:rPr lang="en-GB"/>
            <a:t> cash flow prepays Term Loan B. The excess cash flow builds up on the balance sheet as additional liquidity.</a:t>
          </a:r>
        </a:p>
        <a:p>
          <a:pPr rtl="0"/>
          <a:endParaRPr lang="en-GB">
            <a:effectLst/>
          </a:endParaRPr>
        </a:p>
        <a:p>
          <a:pPr rtl="0"/>
          <a:r>
            <a:rPr lang="en-GB" b="1">
              <a:effectLst/>
            </a:rPr>
            <a:t>Principal Balance Trajectory</a:t>
          </a:r>
          <a:r>
            <a:rPr lang="en-GB" b="0">
              <a:effectLst/>
            </a:rPr>
            <a:t>:</a:t>
          </a:r>
          <a:r>
            <a:rPr lang="en-GB" b="0" baseline="0">
              <a:effectLst/>
            </a:rPr>
            <a:t> </a:t>
          </a:r>
          <a:r>
            <a:rPr lang="en-GB">
              <a:effectLst/>
            </a:rPr>
            <a:t>Senior debt balances shrink steadily through mandatory paydowns and cash sweeps. Conversely, the Subordinated Notes principal compounds upward asnon-cash PIK accrues directly to the principal balance, pushing</a:t>
          </a:r>
          <a:r>
            <a:rPr lang="en-GB" baseline="0">
              <a:effectLst/>
            </a:rPr>
            <a:t> back</a:t>
          </a:r>
          <a:r>
            <a:rPr lang="en-GB">
              <a:effectLst/>
            </a:rPr>
            <a:t> cash outflows.</a:t>
          </a:r>
          <a:r>
            <a:rPr lang="en-GB" baseline="0">
              <a:effectLst/>
            </a:rPr>
            <a:t> </a:t>
          </a:r>
          <a:endParaRPr lang="en-GB" sz="1100"/>
        </a:p>
      </xdr:txBody>
    </xdr:sp>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5" xr16:uid="{85751A62-412A-4D4E-9186-626137D6D8E8}" autoFormatId="16" applyNumberFormats="0" applyBorderFormats="0" applyFontFormats="0" applyPatternFormats="0" applyAlignmentFormats="0" applyWidthHeightFormats="0">
  <queryTableRefresh nextId="5">
    <queryTableFields count="4">
      <queryTableField id="1" name="Column1" tableColumnId="1"/>
      <queryTableField id="2" name="Column2" tableColumnId="2"/>
      <queryTableField id="3" name="Column3" tableColumnId="3"/>
      <queryTableField id="4" name="Column4" tableColumnId="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2" xr16:uid="{83D61B6C-6340-9F4E-ADA9-07A603EF8EBE}" autoFormatId="16" applyNumberFormats="0" applyBorderFormats="0" applyFontFormats="0" applyPatternFormats="0" applyAlignmentFormats="0" applyWidthHeightFormats="0">
  <queryTableRefresh nextId="5">
    <queryTableFields count="4">
      <queryTableField id="1" name="Column1" tableColumnId="1"/>
      <queryTableField id="2" name="Column2" tableColumnId="2"/>
      <queryTableField id="3" name="Column3" tableColumnId="3"/>
      <queryTableField id="4" name="Column4" tableColumnId="4"/>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4" xr16:uid="{9DA3914E-A6AE-C348-BB91-9721F1FA044C}" autoFormatId="16" applyNumberFormats="0" applyBorderFormats="0" applyFontFormats="0" applyPatternFormats="0" applyAlignmentFormats="0" applyWidthHeightFormats="0">
  <queryTableRefresh nextId="5">
    <queryTableFields count="4">
      <queryTableField id="1" name="Column1" tableColumnId="1"/>
      <queryTableField id="2" name="Column2" tableColumnId="2"/>
      <queryTableField id="3" name="Column3" tableColumnId="3"/>
      <queryTableField id="4" name="Column4" tableColumnId="4"/>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BE74B3C-ADCD-194F-B606-432B956598FA}" name="compass_income_statement_3yr" displayName="compass_income_statement_3yr" ref="A3:D57" tableType="queryTable" totalsRowShown="0">
  <autoFilter ref="A3:D57" xr:uid="{9BE74B3C-ADCD-194F-B606-432B956598FA}"/>
  <tableColumns count="4">
    <tableColumn id="1" xr3:uid="{3CB03B2C-12BC-EE4B-BA37-842858BBE08E}" uniqueName="1" name="Column1" queryTableFieldId="1" dataDxfId="11"/>
    <tableColumn id="2" xr3:uid="{A2E1E180-3FB7-6C46-B413-6A5D83769280}" uniqueName="2" name="Column2" queryTableFieldId="2" dataDxfId="10"/>
    <tableColumn id="3" xr3:uid="{464F8B5F-C899-FC41-84D0-03731EFA4A5C}" uniqueName="3" name="Column3" queryTableFieldId="3" dataDxfId="9"/>
    <tableColumn id="4" xr3:uid="{EAF53A3D-7954-4A42-900B-ACB16A2F51B1}" uniqueName="4" name="Column4" queryTableFieldId="4" dataDxfId="8"/>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BECA2D7-F746-4147-95C0-99384123CCFF}" name="compass_balance_sheet_3yr5" displayName="compass_balance_sheet_3yr5" ref="F3:I88" tableType="queryTable" totalsRowShown="0">
  <autoFilter ref="F3:I88" xr:uid="{7BECA2D7-F746-4147-95C0-99384123CCFF}"/>
  <tableColumns count="4">
    <tableColumn id="1" xr3:uid="{E26D21C5-6428-5548-ADBB-E26A5633879E}" uniqueName="1" name="Column1" queryTableFieldId="1" dataDxfId="7"/>
    <tableColumn id="2" xr3:uid="{13C07C0E-9855-7542-85A1-B50484EF0F13}" uniqueName="2" name="Column2" queryTableFieldId="2" dataDxfId="6"/>
    <tableColumn id="3" xr3:uid="{FA7C412D-ABF8-E940-A53D-3C489FD572D3}" uniqueName="3" name="Column3" queryTableFieldId="3" dataDxfId="5"/>
    <tableColumn id="4" xr3:uid="{67A93FBD-209D-624D-977A-181D211E830F}" uniqueName="4" name="Column4" queryTableFieldId="4" dataDxfId="4"/>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DB4D0C9-1940-954C-9B76-494B5DF1052E}" name="compass_cash_flow_3yr6" displayName="compass_cash_flow_3yr6" ref="K3:N57" tableType="queryTable" totalsRowShown="0">
  <autoFilter ref="K3:N57" xr:uid="{6DB4D0C9-1940-954C-9B76-494B5DF1052E}"/>
  <tableColumns count="4">
    <tableColumn id="1" xr3:uid="{7CB37610-14F1-B64F-80DC-C2814057AB93}" uniqueName="1" name="Column1" queryTableFieldId="1" dataDxfId="3"/>
    <tableColumn id="2" xr3:uid="{15BF5773-E2F4-DC41-AF13-082D45D029BF}" uniqueName="2" name="Column2" queryTableFieldId="2" dataDxfId="2"/>
    <tableColumn id="3" xr3:uid="{34EE4006-D4C1-8F47-A397-3A372B707179}" uniqueName="3" name="Column3" queryTableFieldId="3" dataDxfId="1"/>
    <tableColumn id="4" xr3:uid="{FB90DB6F-6229-FB47-9819-B02F4617FF51}" uniqueName="4" name="Column4" queryTableFieldId="4" dataDxfId="0"/>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6.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B3333C-3BD8-4242-8784-FEE9E4B287B9}">
  <dimension ref="B2:AM80"/>
  <sheetViews>
    <sheetView showGridLines="0" tabSelected="1" topLeftCell="A65" zoomScale="80" zoomScaleNormal="80" workbookViewId="0">
      <selection activeCell="AF32" sqref="AF32"/>
    </sheetView>
  </sheetViews>
  <sheetFormatPr baseColWidth="10" defaultRowHeight="16" x14ac:dyDescent="0.2"/>
  <cols>
    <col min="1" max="2" width="2.6640625" customWidth="1"/>
    <col min="3" max="3" width="30.83203125" customWidth="1"/>
    <col min="4" max="8" width="15.83203125" customWidth="1"/>
    <col min="9" max="9" width="26" customWidth="1"/>
    <col min="10" max="10" width="12.33203125" customWidth="1"/>
  </cols>
  <sheetData>
    <row r="2" spans="2:39" x14ac:dyDescent="0.2">
      <c r="C2" s="5" t="s">
        <v>1</v>
      </c>
      <c r="D2" s="53" t="s">
        <v>832</v>
      </c>
      <c r="E2" s="7" t="s">
        <v>44</v>
      </c>
    </row>
    <row r="3" spans="2:39" x14ac:dyDescent="0.2">
      <c r="C3" s="5" t="s">
        <v>786</v>
      </c>
      <c r="D3" s="53" t="s">
        <v>832</v>
      </c>
      <c r="E3" s="7" t="s">
        <v>821</v>
      </c>
    </row>
    <row r="4" spans="2:39" x14ac:dyDescent="0.2">
      <c r="C4" s="92" t="s">
        <v>869</v>
      </c>
      <c r="D4" s="49" t="s">
        <v>870</v>
      </c>
      <c r="E4" s="8">
        <v>46241</v>
      </c>
    </row>
    <row r="5" spans="2:39" x14ac:dyDescent="0.2">
      <c r="C5" s="5" t="s">
        <v>2</v>
      </c>
      <c r="D5" s="498" t="s">
        <v>870</v>
      </c>
      <c r="E5" s="8">
        <v>45930</v>
      </c>
    </row>
    <row r="6" spans="2:39" x14ac:dyDescent="0.2">
      <c r="C6" t="s">
        <v>871</v>
      </c>
      <c r="D6" s="49" t="s">
        <v>71</v>
      </c>
      <c r="E6" s="504">
        <v>31.71</v>
      </c>
    </row>
    <row r="7" spans="2:39" x14ac:dyDescent="0.2">
      <c r="C7" t="s">
        <v>1038</v>
      </c>
      <c r="E7" s="505" t="s">
        <v>1039</v>
      </c>
    </row>
    <row r="9" spans="2:39" x14ac:dyDescent="0.2">
      <c r="B9" s="1"/>
      <c r="C9" s="1"/>
      <c r="D9" s="3"/>
      <c r="E9" s="3"/>
      <c r="F9" s="3"/>
      <c r="G9" s="3"/>
      <c r="H9" s="3"/>
      <c r="I9" s="3"/>
      <c r="J9" s="3"/>
      <c r="K9" s="3"/>
      <c r="L9" s="3"/>
    </row>
    <row r="10" spans="2:39" x14ac:dyDescent="0.2">
      <c r="B10" s="6"/>
      <c r="C10" s="6" t="s">
        <v>1040</v>
      </c>
      <c r="D10" s="47"/>
      <c r="E10" s="9"/>
      <c r="F10" s="9"/>
      <c r="G10" s="9"/>
      <c r="H10" s="9"/>
      <c r="I10" s="9"/>
      <c r="J10" s="9"/>
      <c r="K10" s="9"/>
      <c r="L10" s="9"/>
      <c r="AA10" s="506" t="str">
        <f>TEXT(ABS(DCF!J29), "0.0%") &amp; IF(DCF!J29&lt;0, " Discount to Current", " Premium to Current")</f>
        <v>10.8% Discount to Current</v>
      </c>
    </row>
    <row r="11" spans="2:39" x14ac:dyDescent="0.2">
      <c r="AA11" s="421" t="str">
        <f>TEXT(ABS((Public_Comps!H41/Public_Comps!H37)-1), "0.0%") &amp; " Premium to Peers"</f>
        <v>55.1% Premium to Peers</v>
      </c>
    </row>
    <row r="12" spans="2:39" x14ac:dyDescent="0.2">
      <c r="AA12" s="421" t="str">
        <f>TEXT(Public_Comps!H41, "0.0") &amp; "x vs. " &amp; TEXT(Public_Comps!H37, "0.0") &amp; "x"</f>
        <v>13.9x vs. 9.0x</v>
      </c>
    </row>
    <row r="13" spans="2:39" x14ac:dyDescent="0.2">
      <c r="AA13" s="421" t="str">
        <f>TEXT(LBO!H294, "0.0%") &amp; " IRR / " &amp; TEXT(LBO!H300, "0.0") &amp; "x MoIC"</f>
        <v>4.9% IRR / 1.3x MoIC</v>
      </c>
    </row>
    <row r="15" spans="2:39" x14ac:dyDescent="0.2">
      <c r="AD15" t="s">
        <v>1047</v>
      </c>
      <c r="AE15" t="s">
        <v>889</v>
      </c>
      <c r="AF15" t="s">
        <v>812</v>
      </c>
      <c r="AG15" t="s">
        <v>888</v>
      </c>
      <c r="AH15" t="s">
        <v>1048</v>
      </c>
      <c r="AI15" t="s">
        <v>1049</v>
      </c>
      <c r="AJ15" t="s">
        <v>1053</v>
      </c>
      <c r="AK15" t="s">
        <v>1050</v>
      </c>
      <c r="AL15" t="s">
        <v>1051</v>
      </c>
      <c r="AM15" t="s">
        <v>1052</v>
      </c>
    </row>
    <row r="17" spans="2:39" x14ac:dyDescent="0.2">
      <c r="AA17" t="s">
        <v>1045</v>
      </c>
      <c r="AD17" s="526">
        <f>DCF!O109</f>
        <v>18.118905716425683</v>
      </c>
      <c r="AE17" s="526">
        <f>DCF!M107</f>
        <v>20.410639631813126</v>
      </c>
      <c r="AF17" s="526">
        <f>DCF!J104</f>
        <v>24.977809986148621</v>
      </c>
      <c r="AG17" s="526">
        <f>DCF!G101</f>
        <v>31.793166585794321</v>
      </c>
      <c r="AH17" s="526">
        <f>DCF!E99</f>
        <v>39.103679742441557</v>
      </c>
      <c r="AI17" s="59">
        <f>AD17</f>
        <v>18.118905716425683</v>
      </c>
      <c r="AJ17" s="59">
        <f>AE17-AD17</f>
        <v>2.291733915387443</v>
      </c>
      <c r="AK17" s="59">
        <f>AF17-AE17</f>
        <v>4.5671703543354951</v>
      </c>
      <c r="AL17" s="59">
        <f>AG17-AF17</f>
        <v>6.8153565996456997</v>
      </c>
      <c r="AM17" s="59">
        <f>AH17-AG17</f>
        <v>7.3105131566472359</v>
      </c>
    </row>
    <row r="18" spans="2:39" x14ac:dyDescent="0.2">
      <c r="AA18" t="s">
        <v>1044</v>
      </c>
      <c r="AD18" s="526">
        <f>DCF!O94</f>
        <v>23.051380869385863</v>
      </c>
      <c r="AE18" s="526">
        <f>DCF!M91</f>
        <v>25.30705358903117</v>
      </c>
      <c r="AF18" s="526">
        <f>DCF!J88</f>
        <v>27.991630990910309</v>
      </c>
      <c r="AG18" s="526">
        <f>DCF!G86</f>
        <v>30.233766589096305</v>
      </c>
      <c r="AH18" s="526">
        <f>DCF!E84</f>
        <v>32.212553645007134</v>
      </c>
      <c r="AI18" s="59">
        <f>AD18</f>
        <v>23.051380869385863</v>
      </c>
      <c r="AJ18" s="59">
        <f>AE18-AD18</f>
        <v>2.2556727196453075</v>
      </c>
      <c r="AK18" s="59">
        <f>AF18-AE18</f>
        <v>2.6845774018791388</v>
      </c>
      <c r="AL18" s="59">
        <f>AG18-AF18</f>
        <v>2.2421355981859961</v>
      </c>
      <c r="AM18" s="59">
        <f>AH18-AG18</f>
        <v>1.9787870559108285</v>
      </c>
    </row>
    <row r="20" spans="2:39" x14ac:dyDescent="0.2">
      <c r="AA20" t="s">
        <v>1046</v>
      </c>
      <c r="AD20" s="526">
        <f>LBO!E305</f>
        <v>18</v>
      </c>
      <c r="AE20" s="526">
        <f>LBO!F305</f>
        <v>19.5</v>
      </c>
      <c r="AF20" s="526">
        <f>LBO!G305</f>
        <v>21</v>
      </c>
      <c r="AG20" s="526">
        <f>LBO!H305</f>
        <v>22.5</v>
      </c>
      <c r="AH20" s="526">
        <f>LBO!I305</f>
        <v>24</v>
      </c>
      <c r="AI20" s="59">
        <f>AD20</f>
        <v>18</v>
      </c>
      <c r="AJ20" s="59">
        <f>AE20-AD20</f>
        <v>1.5</v>
      </c>
      <c r="AK20" s="59">
        <f t="shared" ref="AK20:AM20" si="0">AF20-AE20</f>
        <v>1.5</v>
      </c>
      <c r="AL20" s="59">
        <f t="shared" si="0"/>
        <v>1.5</v>
      </c>
      <c r="AM20" s="59">
        <f t="shared" si="0"/>
        <v>1.5</v>
      </c>
    </row>
    <row r="22" spans="2:39" x14ac:dyDescent="0.2">
      <c r="B22" s="1"/>
      <c r="C22" s="1"/>
      <c r="D22" s="3"/>
      <c r="E22" s="3"/>
      <c r="F22" s="3"/>
      <c r="G22" s="3"/>
      <c r="H22" s="3"/>
      <c r="I22" s="3"/>
      <c r="J22" s="3"/>
      <c r="K22" s="3"/>
      <c r="L22" s="3"/>
      <c r="AA22" t="str">
        <f>Public_Comps!B55</f>
        <v>FY 26 P / E:</v>
      </c>
      <c r="AD22" s="526">
        <f>Public_Comps!M55</f>
        <v>17.797362150362986</v>
      </c>
      <c r="AE22" s="526">
        <f>Public_Comps!L55</f>
        <v>19.278951394123936</v>
      </c>
      <c r="AF22" s="526">
        <f>Public_Comps!K55</f>
        <v>33.341245352190803</v>
      </c>
      <c r="AG22" s="526">
        <f>Public_Comps!J55</f>
        <v>36.612410228698849</v>
      </c>
      <c r="AH22" s="526">
        <f>Public_Comps!I55</f>
        <v>39.74727855574762</v>
      </c>
      <c r="AI22" s="59">
        <f>AD22</f>
        <v>17.797362150362986</v>
      </c>
      <c r="AJ22" s="59">
        <f>AE22-AD22</f>
        <v>1.4815892437609506</v>
      </c>
      <c r="AK22" s="59">
        <f>AF22-AE22</f>
        <v>14.062293958066867</v>
      </c>
      <c r="AL22" s="59">
        <f>AG22-AF22</f>
        <v>3.2711648765080454</v>
      </c>
      <c r="AM22" s="59">
        <f>AH22-AG22</f>
        <v>3.1348683270487712</v>
      </c>
    </row>
    <row r="23" spans="2:39" x14ac:dyDescent="0.2">
      <c r="B23" s="6"/>
      <c r="C23" s="6" t="s">
        <v>1072</v>
      </c>
      <c r="D23" s="47"/>
      <c r="E23" s="9"/>
      <c r="F23" s="9"/>
      <c r="G23" s="9"/>
      <c r="H23" s="9"/>
      <c r="I23" s="9"/>
      <c r="J23" s="9"/>
      <c r="K23" s="9"/>
      <c r="L23" s="9"/>
      <c r="AA23" t="str">
        <f>Public_Comps!B52</f>
        <v>FY26 TEV / EBITDA:</v>
      </c>
      <c r="AD23" s="526">
        <f>Public_Comps!M52</f>
        <v>8.2345366887318772</v>
      </c>
      <c r="AE23" s="526">
        <f>Public_Comps!L52</f>
        <v>8.966862811345619</v>
      </c>
      <c r="AF23" s="526">
        <f>Public_Comps!K52</f>
        <v>19.184272682986236</v>
      </c>
      <c r="AG23" s="526">
        <f>Public_Comps!J52</f>
        <v>20.267634087289615</v>
      </c>
      <c r="AH23" s="526">
        <f>Public_Comps!I52</f>
        <v>28.745831953144894</v>
      </c>
      <c r="AI23" s="59">
        <f>AD23</f>
        <v>8.2345366887318772</v>
      </c>
      <c r="AJ23" s="59">
        <f>AE23-AD23</f>
        <v>0.73232612261374186</v>
      </c>
      <c r="AK23" s="59">
        <f>AF23-AE23</f>
        <v>10.217409871640617</v>
      </c>
      <c r="AL23" s="59">
        <f>AG23-AF23</f>
        <v>1.0833614043033784</v>
      </c>
      <c r="AM23" s="59">
        <f>AH23-AG23</f>
        <v>8.4781978658552788</v>
      </c>
    </row>
    <row r="24" spans="2:39" x14ac:dyDescent="0.2">
      <c r="AD24" s="526"/>
      <c r="AE24" s="526"/>
      <c r="AF24" s="526"/>
      <c r="AG24" s="526"/>
      <c r="AH24" s="526"/>
      <c r="AI24" s="59"/>
      <c r="AJ24" s="59"/>
      <c r="AK24" s="59"/>
      <c r="AL24" s="59"/>
      <c r="AM24" s="59"/>
    </row>
    <row r="25" spans="2:39" x14ac:dyDescent="0.2">
      <c r="AA25" s="28" t="s">
        <v>1054</v>
      </c>
      <c r="AD25" s="527">
        <f>$E$6</f>
        <v>31.71</v>
      </c>
      <c r="AE25" s="527">
        <f t="shared" ref="AE25:AH25" si="1">$E$6</f>
        <v>31.71</v>
      </c>
      <c r="AF25" s="527">
        <f t="shared" si="1"/>
        <v>31.71</v>
      </c>
      <c r="AG25" s="527">
        <f t="shared" si="1"/>
        <v>31.71</v>
      </c>
      <c r="AH25" s="527">
        <f t="shared" si="1"/>
        <v>31.71</v>
      </c>
      <c r="AI25" s="539">
        <v>1000</v>
      </c>
      <c r="AJ25" s="539">
        <v>0</v>
      </c>
      <c r="AK25" s="59">
        <f>$AJ$25</f>
        <v>0</v>
      </c>
      <c r="AL25" s="59">
        <f>$AJ$25</f>
        <v>0</v>
      </c>
      <c r="AM25" s="59">
        <f>$AJ$25</f>
        <v>0</v>
      </c>
    </row>
    <row r="31" spans="2:39" x14ac:dyDescent="0.2">
      <c r="U31" s="526"/>
      <c r="V31" s="526"/>
      <c r="W31" s="526"/>
      <c r="X31" s="526"/>
      <c r="Y31" s="526"/>
      <c r="Z31" s="59"/>
      <c r="AA31" s="59"/>
      <c r="AB31" s="59"/>
      <c r="AC31" s="59"/>
      <c r="AD31" s="59"/>
    </row>
    <row r="32" spans="2:39" x14ac:dyDescent="0.2">
      <c r="U32" s="526"/>
      <c r="V32" s="526"/>
      <c r="W32" s="526"/>
      <c r="X32" s="526"/>
      <c r="Y32" s="526"/>
      <c r="Z32" s="59"/>
      <c r="AA32" s="59"/>
      <c r="AB32" s="59"/>
      <c r="AC32" s="59"/>
      <c r="AD32" s="59"/>
    </row>
    <row r="33" spans="21:30" x14ac:dyDescent="0.2">
      <c r="U33" s="526"/>
      <c r="V33" s="526"/>
      <c r="W33" s="526"/>
      <c r="X33" s="526"/>
      <c r="Y33" s="526"/>
      <c r="Z33" s="59"/>
      <c r="AA33" s="59"/>
      <c r="AB33" s="59"/>
      <c r="AC33" s="59"/>
      <c r="AD33" s="59"/>
    </row>
    <row r="34" spans="21:30" x14ac:dyDescent="0.2">
      <c r="U34" s="526"/>
      <c r="V34" s="526"/>
      <c r="W34" s="526"/>
      <c r="X34" s="526"/>
      <c r="Y34" s="526"/>
      <c r="Z34" s="59"/>
      <c r="AA34" s="59"/>
      <c r="AB34" s="59"/>
      <c r="AC34" s="59"/>
      <c r="AD34" s="59"/>
    </row>
    <row r="51" spans="3:9" ht="16" customHeight="1" x14ac:dyDescent="0.2"/>
    <row r="52" spans="3:9" ht="16" customHeight="1" x14ac:dyDescent="0.2"/>
    <row r="53" spans="3:9" ht="16" customHeight="1" x14ac:dyDescent="0.2"/>
    <row r="54" spans="3:9" ht="16" customHeight="1" x14ac:dyDescent="0.2"/>
    <row r="55" spans="3:9" ht="16" customHeight="1" x14ac:dyDescent="0.2"/>
    <row r="56" spans="3:9" ht="16" customHeight="1" x14ac:dyDescent="0.2"/>
    <row r="57" spans="3:9" ht="16" customHeight="1" x14ac:dyDescent="0.2"/>
    <row r="58" spans="3:9" ht="16" customHeight="1" x14ac:dyDescent="0.2"/>
    <row r="59" spans="3:9" ht="21" customHeight="1" x14ac:dyDescent="0.2">
      <c r="C59" s="528" t="s">
        <v>1055</v>
      </c>
      <c r="D59" s="529" t="s">
        <v>1066</v>
      </c>
      <c r="E59" s="529" t="s">
        <v>1067</v>
      </c>
      <c r="F59" s="529" t="s">
        <v>1068</v>
      </c>
      <c r="G59" s="529" t="s">
        <v>1059</v>
      </c>
      <c r="H59" s="529" t="s">
        <v>1060</v>
      </c>
      <c r="I59" s="529" t="s">
        <v>1061</v>
      </c>
    </row>
    <row r="60" spans="3:9" ht="21" customHeight="1" x14ac:dyDescent="0.2">
      <c r="C60" s="531" t="s">
        <v>1071</v>
      </c>
      <c r="D60" s="532">
        <f>AE23</f>
        <v>8.966862811345619</v>
      </c>
      <c r="E60" s="532">
        <f>AG23</f>
        <v>20.267634087289615</v>
      </c>
      <c r="F60" s="532">
        <f>AF23</f>
        <v>19.184272682986236</v>
      </c>
      <c r="G60" s="532">
        <f>F60*DCF!$E$9+SUM(DCF!$E$14:$E$19)</f>
        <v>40565.926739130431</v>
      </c>
      <c r="H60" s="533">
        <f>F60/$E$6-1</f>
        <v>-0.39500874541197617</v>
      </c>
      <c r="I60" s="534" t="s">
        <v>1064</v>
      </c>
    </row>
    <row r="61" spans="3:9" ht="21" customHeight="1" x14ac:dyDescent="0.2">
      <c r="C61" s="531" t="s">
        <v>1069</v>
      </c>
      <c r="D61" s="532">
        <f>AE22</f>
        <v>19.278951394123936</v>
      </c>
      <c r="E61" s="532">
        <f>AG22</f>
        <v>36.612410228698849</v>
      </c>
      <c r="F61" s="532">
        <f>AF22</f>
        <v>33.341245352190803</v>
      </c>
      <c r="G61" s="532">
        <f>F61*DCF!$E$9+SUM(DCF!$E$14:$E$19)</f>
        <v>65836.122953660582</v>
      </c>
      <c r="H61" s="533">
        <f>F61/$E$6-1</f>
        <v>5.1442615963128491E-2</v>
      </c>
      <c r="I61" s="534" t="s">
        <v>1064</v>
      </c>
    </row>
    <row r="62" spans="3:9" ht="21" customHeight="1" x14ac:dyDescent="0.2">
      <c r="C62" s="531" t="s">
        <v>1058</v>
      </c>
      <c r="D62" s="532">
        <f>AE20</f>
        <v>19.5</v>
      </c>
      <c r="E62" s="532">
        <f>AG20</f>
        <v>22.5</v>
      </c>
      <c r="F62" s="532">
        <f>AF20</f>
        <v>21</v>
      </c>
      <c r="G62" s="532">
        <f>F62*DCF!$E$9+SUM(DCF!$E$14:$E$19)</f>
        <v>43807</v>
      </c>
      <c r="H62" s="533">
        <f>F62/$E$6-1</f>
        <v>-0.33774834437086099</v>
      </c>
      <c r="I62" s="534" t="s">
        <v>1065</v>
      </c>
    </row>
    <row r="63" spans="3:9" ht="21" customHeight="1" x14ac:dyDescent="0.2">
      <c r="C63" s="531" t="s">
        <v>1057</v>
      </c>
      <c r="D63" s="532">
        <f>AE18</f>
        <v>25.30705358903117</v>
      </c>
      <c r="E63" s="532">
        <f>AG18</f>
        <v>30.233766589096305</v>
      </c>
      <c r="F63" s="532">
        <f>AF18</f>
        <v>27.991630990910309</v>
      </c>
      <c r="G63" s="532">
        <f>F63*DCF!$E$9+SUM(DCF!$E$14:$E$19)</f>
        <v>56287.061318774904</v>
      </c>
      <c r="H63" s="533">
        <f>F63/$E$6-1</f>
        <v>-0.11726171583379663</v>
      </c>
      <c r="I63" s="534" t="s">
        <v>1063</v>
      </c>
    </row>
    <row r="64" spans="3:9" ht="21" customHeight="1" x14ac:dyDescent="0.2">
      <c r="C64" s="531" t="s">
        <v>1056</v>
      </c>
      <c r="D64" s="532">
        <f>AE17</f>
        <v>20.410639631813126</v>
      </c>
      <c r="E64" s="532">
        <f>AG17</f>
        <v>31.793166585794321</v>
      </c>
      <c r="F64" s="532">
        <f>AF17</f>
        <v>24.977809986148621</v>
      </c>
      <c r="G64" s="532">
        <f>F64*DCF!$E$9+SUM(DCF!$E$14:$E$19)</f>
        <v>50907.390825275288</v>
      </c>
      <c r="H64" s="533">
        <f>F64/$E$6-1</f>
        <v>-0.21230495155633489</v>
      </c>
      <c r="I64" s="534" t="s">
        <v>1062</v>
      </c>
    </row>
    <row r="65" spans="2:12" ht="21" customHeight="1" x14ac:dyDescent="0.2">
      <c r="C65" s="530" t="s">
        <v>1054</v>
      </c>
      <c r="D65" s="532">
        <f>$E$6</f>
        <v>31.71</v>
      </c>
      <c r="E65" s="532">
        <f t="shared" ref="E65:F65" si="2">$E$6</f>
        <v>31.71</v>
      </c>
      <c r="F65" s="532">
        <f t="shared" si="2"/>
        <v>31.71</v>
      </c>
      <c r="G65" s="532">
        <f>F65*DCF!$E$9+SUM(DCF!$E$14:$E$19)</f>
        <v>62924.35</v>
      </c>
      <c r="H65" s="536">
        <v>0</v>
      </c>
      <c r="I65" s="535" t="s">
        <v>1070</v>
      </c>
    </row>
    <row r="68" spans="2:12" x14ac:dyDescent="0.2">
      <c r="B68" s="1"/>
      <c r="C68" s="1"/>
      <c r="D68" s="3"/>
      <c r="E68" s="3"/>
      <c r="F68" s="3"/>
      <c r="G68" s="3"/>
      <c r="H68" s="3"/>
      <c r="I68" s="3"/>
      <c r="J68" s="3"/>
      <c r="K68" s="3"/>
      <c r="L68" s="3"/>
    </row>
    <row r="69" spans="2:12" x14ac:dyDescent="0.2">
      <c r="B69" s="6"/>
      <c r="C69" s="6" t="s">
        <v>1073</v>
      </c>
      <c r="D69" s="47"/>
      <c r="E69" s="9"/>
      <c r="F69" s="9"/>
      <c r="G69" s="9"/>
      <c r="H69" s="9"/>
      <c r="I69" s="9"/>
      <c r="J69" s="9"/>
      <c r="K69" s="9"/>
      <c r="L69" s="9"/>
    </row>
    <row r="71" spans="2:12" x14ac:dyDescent="0.2">
      <c r="C71" s="6" t="s">
        <v>1076</v>
      </c>
      <c r="E71" s="6" t="s">
        <v>1075</v>
      </c>
      <c r="F71" s="6"/>
      <c r="H71" s="6" t="s">
        <v>1074</v>
      </c>
      <c r="I71" s="6"/>
    </row>
    <row r="72" spans="2:12" x14ac:dyDescent="0.2">
      <c r="C72" s="537" t="str">
        <f>"5-Yr Revenue Growth: "&amp;TEXT('3_Statment_model'!L9,"0.0%")&amp;" - "&amp;TEXT('3_Statment_model'!H9,"0.0%")&amp;" YoY"</f>
        <v>5-Yr Revenue Growth: 6.6% - 8.0% YoY</v>
      </c>
      <c r="E72" s="538" t="str">
        <f>"Calculated WACC: "&amp;TEXT(DCF!E11,"0.0%")</f>
        <v>Calculated WACC: 8.0%</v>
      </c>
      <c r="F72" s="538"/>
      <c r="H72" s="538" t="str">
        <f>"Offer Premium: "&amp;TEXT(LBO!E7,"0.0%")</f>
        <v>Offer Premium: 25.0%</v>
      </c>
      <c r="I72" s="538"/>
    </row>
    <row r="73" spans="2:12" x14ac:dyDescent="0.2">
      <c r="C73" s="537" t="str">
        <f>"Direct Operating Costs: "&amp;TEXT(('3_Statment_model'!J17+'3_Statment_model'!H15),"0.0%") &amp; " of Rev"</f>
        <v>Direct Operating Costs: 90.6% of Rev</v>
      </c>
      <c r="E73" s="538" t="str">
        <f>"FCF Terminal Growth Rate: "&amp;TEXT(DCF!O8,"0.0%")</f>
        <v>FCF Terminal Growth Rate: 3.0%</v>
      </c>
      <c r="F73" s="538"/>
      <c r="H73" s="538" t="str">
        <f>"Entry Valuation: "&amp;TEXT(LBO!E25,"0.0x")&amp;" TEV / EBITDA"</f>
        <v>Entry Valuation: 17.2x TEV / EBITDA</v>
      </c>
      <c r="I73" s="538"/>
    </row>
    <row r="74" spans="2:12" x14ac:dyDescent="0.2">
      <c r="C74" s="538" t="str">
        <f>"Effective Tax Rate: "&amp;TEXT('3_Statment_model'!H21,"0.0%")</f>
        <v>Effective Tax Rate: 27.7%</v>
      </c>
      <c r="E74" s="538" t="str">
        <f>"Terminal EBITDA Multiple: "&amp;TEXT(DCF!J6,"0.0x")</f>
        <v>Terminal EBITDA Multiple: 11.0x</v>
      </c>
      <c r="F74" s="538"/>
      <c r="H74" s="538" t="str">
        <f>"Entry Leverage: "&amp;TEXT(LBO!K240,"0.0x")&amp;" Debt / EBITDA"</f>
        <v>Entry Leverage: 6.3x Debt / EBITDA</v>
      </c>
      <c r="I74" s="538"/>
    </row>
    <row r="75" spans="2:12" x14ac:dyDescent="0.2">
      <c r="C75" s="538" t="str">
        <f>"CapEx Requirement: ~"&amp;TEXT('3_Statment_model'!J233,"0.0%") &amp; " of Rev"</f>
        <v>CapEx Requirement: ~3.0% of Rev</v>
      </c>
      <c r="E75" s="538" t="str">
        <f>"Unlevered Beta: "&amp;TEXT(DCF!E69,"0.00")</f>
        <v>Unlevered Beta: 0.69</v>
      </c>
      <c r="F75" s="538"/>
      <c r="H75" s="538" t="str">
        <f>"Weighted Debt Cost: "&amp;TEXT((LBO!K173*LBO!D37+LBO!D38*LBO!K174+LBO!K175*LBO!D39)/LBO!K230,"0.0%")</f>
        <v>Weighted Debt Cost: 7.7%</v>
      </c>
      <c r="I75" s="538"/>
    </row>
    <row r="76" spans="2:12" x14ac:dyDescent="0.2">
      <c r="C76" s="538" t="str">
        <f>"NWC Intensity: ~"&amp;TEXT('3_Statment_model'!J234,"0.0%") &amp; " of Rev"</f>
        <v>NWC Intensity: ~35.6% of Rev</v>
      </c>
      <c r="E76" s="538" t="str">
        <f>"Risk-Free Rate: "&amp;TEXT(DCF!D52,"0.0%")</f>
        <v>Risk-Free Rate: 4.9%</v>
      </c>
      <c r="F76" s="538"/>
      <c r="H76" s="538" t="str">
        <f>"Base Scenario Exit Multiple (FY30): "&amp;TEXT(LBO!N29-1,"0.0x")</f>
        <v>Base Scenario Exit Multiple (FY30): 14.0x</v>
      </c>
      <c r="I76" s="538"/>
    </row>
    <row r="79" spans="2:12" x14ac:dyDescent="0.2">
      <c r="B79" s="1"/>
      <c r="C79" s="1"/>
      <c r="D79" s="3"/>
      <c r="E79" s="3"/>
      <c r="F79" s="3"/>
      <c r="G79" s="3"/>
      <c r="H79" s="3"/>
      <c r="I79" s="3"/>
      <c r="J79" s="3"/>
      <c r="K79" s="3"/>
      <c r="L79" s="3"/>
    </row>
    <row r="80" spans="2:12" x14ac:dyDescent="0.2">
      <c r="B80" s="6"/>
      <c r="C80" s="6" t="s">
        <v>1077</v>
      </c>
      <c r="D80" s="47"/>
      <c r="E80" s="9"/>
      <c r="F80" s="9"/>
      <c r="G80" s="9"/>
      <c r="H80" s="9"/>
      <c r="I80" s="9"/>
      <c r="J80" s="9"/>
      <c r="K80" s="9"/>
      <c r="L80" s="9"/>
    </row>
  </sheetData>
  <sortState xmlns:xlrd2="http://schemas.microsoft.com/office/spreadsheetml/2017/richdata2" ref="Q21:Y34">
    <sortCondition descending="1" ref="Q21:Q34"/>
  </sortState>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01FFAF-C6C9-834C-973B-462F9A3B212F}">
  <dimension ref="B2:O111"/>
  <sheetViews>
    <sheetView showGridLines="0" zoomScale="80" zoomScaleNormal="80" workbookViewId="0"/>
  </sheetViews>
  <sheetFormatPr baseColWidth="10" defaultRowHeight="16" x14ac:dyDescent="0.2"/>
  <cols>
    <col min="1" max="2" width="2.6640625" customWidth="1"/>
    <col min="3" max="3" width="45.1640625" customWidth="1"/>
    <col min="4" max="15" width="15" customWidth="1"/>
    <col min="16" max="16" width="13.33203125" customWidth="1"/>
  </cols>
  <sheetData>
    <row r="2" spans="2:15" x14ac:dyDescent="0.2">
      <c r="B2" s="1"/>
      <c r="C2" s="1"/>
      <c r="D2" s="3"/>
      <c r="E2" s="3"/>
      <c r="F2" s="3"/>
      <c r="G2" s="3"/>
      <c r="H2" s="3"/>
      <c r="I2" s="3"/>
      <c r="J2" s="3"/>
      <c r="K2" s="3"/>
      <c r="L2" s="3"/>
      <c r="M2" s="3"/>
      <c r="N2" s="3"/>
      <c r="O2" s="3"/>
    </row>
    <row r="3" spans="2:15" x14ac:dyDescent="0.2">
      <c r="B3" s="2" t="s">
        <v>823</v>
      </c>
      <c r="C3" s="1"/>
      <c r="D3" s="47" t="s">
        <v>3</v>
      </c>
      <c r="E3" s="9"/>
      <c r="F3" s="9"/>
      <c r="G3" s="9"/>
      <c r="H3" s="9"/>
      <c r="I3" s="9"/>
      <c r="J3" s="9"/>
      <c r="K3" s="9"/>
      <c r="L3" s="9"/>
      <c r="M3" s="9"/>
      <c r="N3" s="9"/>
      <c r="O3" s="9"/>
    </row>
    <row r="5" spans="2:15" x14ac:dyDescent="0.2">
      <c r="C5" t="s">
        <v>1</v>
      </c>
      <c r="D5" s="49" t="s">
        <v>832</v>
      </c>
      <c r="E5" s="503" t="str">
        <f>Valuation_Summary!E2</f>
        <v>Compass Group</v>
      </c>
      <c r="G5" s="292" t="s">
        <v>852</v>
      </c>
      <c r="H5" s="292"/>
      <c r="I5" s="292"/>
      <c r="J5" s="292"/>
      <c r="L5" s="292" t="s">
        <v>853</v>
      </c>
      <c r="M5" s="292"/>
      <c r="N5" s="292"/>
      <c r="O5" s="292"/>
    </row>
    <row r="6" spans="2:15" x14ac:dyDescent="0.2">
      <c r="C6" t="s">
        <v>2</v>
      </c>
      <c r="D6" s="49" t="s">
        <v>870</v>
      </c>
      <c r="E6" s="501">
        <f>Valuation_Summary!E5</f>
        <v>45930</v>
      </c>
      <c r="G6" s="92" t="s">
        <v>1035</v>
      </c>
      <c r="J6" s="110">
        <v>11</v>
      </c>
      <c r="L6" s="92" t="s">
        <v>1036</v>
      </c>
      <c r="O6" s="62">
        <v>0.04</v>
      </c>
    </row>
    <row r="7" spans="2:15" x14ac:dyDescent="0.2">
      <c r="G7" s="92" t="s">
        <v>874</v>
      </c>
      <c r="J7" s="187">
        <f>'3_Statment_model'!L226</f>
        <v>6199.9658200859003</v>
      </c>
      <c r="L7" s="92"/>
    </row>
    <row r="8" spans="2:15" x14ac:dyDescent="0.2">
      <c r="C8" t="s">
        <v>871</v>
      </c>
      <c r="D8" s="49" t="s">
        <v>71</v>
      </c>
      <c r="E8" s="499">
        <f>Valuation_Summary!E6</f>
        <v>31.71</v>
      </c>
      <c r="G8" s="92"/>
      <c r="J8" s="110"/>
      <c r="L8" s="92" t="s">
        <v>854</v>
      </c>
      <c r="O8" s="62">
        <v>0.03</v>
      </c>
    </row>
    <row r="9" spans="2:15" x14ac:dyDescent="0.2">
      <c r="C9" s="92" t="s">
        <v>866</v>
      </c>
      <c r="D9" s="49" t="s">
        <v>872</v>
      </c>
      <c r="E9" s="65">
        <v>1785</v>
      </c>
      <c r="G9" s="92" t="s">
        <v>855</v>
      </c>
      <c r="J9" s="22">
        <f>J6*J7</f>
        <v>68199.624020944902</v>
      </c>
      <c r="L9" s="92" t="s">
        <v>855</v>
      </c>
      <c r="O9" s="22">
        <f>L48*(1+O8)/(E11-O8)</f>
        <v>63503.26295925193</v>
      </c>
    </row>
    <row r="10" spans="2:15" x14ac:dyDescent="0.2">
      <c r="G10" s="92" t="s">
        <v>856</v>
      </c>
      <c r="J10" s="62">
        <f>(J9*E11-L48)/(J9+L48)</f>
        <v>3.3311224455511546E-2</v>
      </c>
      <c r="L10" s="92" t="s">
        <v>857</v>
      </c>
      <c r="O10" s="110">
        <f>O9/J7</f>
        <v>10.242518233491181</v>
      </c>
    </row>
    <row r="11" spans="2:15" x14ac:dyDescent="0.2">
      <c r="C11" s="92" t="s">
        <v>875</v>
      </c>
      <c r="D11" s="49" t="s">
        <v>692</v>
      </c>
      <c r="E11" s="58">
        <f>$F$77</f>
        <v>8.0270170703218416E-2</v>
      </c>
      <c r="G11" s="92"/>
      <c r="L11" s="92"/>
    </row>
    <row r="12" spans="2:15" x14ac:dyDescent="0.2">
      <c r="C12" s="92"/>
      <c r="G12" s="171" t="s">
        <v>858</v>
      </c>
      <c r="J12" s="22">
        <f>J9/(1+$E$11)^5</f>
        <v>46357.505617309129</v>
      </c>
      <c r="L12" s="171" t="s">
        <v>858</v>
      </c>
      <c r="O12" s="22">
        <f>O9/(1+$E$11)^5</f>
        <v>43165.236049496234</v>
      </c>
    </row>
    <row r="13" spans="2:15" x14ac:dyDescent="0.2">
      <c r="C13" s="284" t="s">
        <v>876</v>
      </c>
      <c r="D13" s="285" t="s">
        <v>881</v>
      </c>
      <c r="E13" s="286">
        <f>$E$9*$E$8</f>
        <v>56602.35</v>
      </c>
      <c r="G13" s="171" t="s">
        <v>859</v>
      </c>
      <c r="J13" s="22">
        <f>NPV($E$11,$H$48:$L$48)</f>
        <v>10469.674031753608</v>
      </c>
      <c r="L13" s="171" t="s">
        <v>859</v>
      </c>
      <c r="O13" s="22">
        <f>NPV($E$11,$H$48:$L$48)</f>
        <v>10469.674031753608</v>
      </c>
    </row>
    <row r="14" spans="2:15" x14ac:dyDescent="0.2">
      <c r="C14" s="171" t="s">
        <v>877</v>
      </c>
      <c r="D14" s="178" t="s">
        <v>881</v>
      </c>
      <c r="E14" s="144">
        <f>-'3_Statment_model'!$G$158</f>
        <v>-575</v>
      </c>
      <c r="G14" s="290" t="s">
        <v>860</v>
      </c>
      <c r="H14" s="290"/>
      <c r="I14" s="290"/>
      <c r="J14" s="291">
        <f>SUM(J12:J13)</f>
        <v>56827.179649062738</v>
      </c>
      <c r="L14" s="290" t="s">
        <v>860</v>
      </c>
      <c r="M14" s="290"/>
      <c r="N14" s="290"/>
      <c r="O14" s="291">
        <f>SUM(O12:O13)</f>
        <v>53634.910081249844</v>
      </c>
    </row>
    <row r="15" spans="2:15" x14ac:dyDescent="0.2">
      <c r="C15" s="171" t="s">
        <v>882</v>
      </c>
      <c r="D15" s="178" t="s">
        <v>881</v>
      </c>
      <c r="E15" s="37">
        <f>-'3_Statment_model'!$G$165-'3_Statment_model'!$G$172</f>
        <v>5426</v>
      </c>
      <c r="G15" s="171"/>
      <c r="L15" s="171"/>
    </row>
    <row r="16" spans="2:15" x14ac:dyDescent="0.2">
      <c r="C16" s="17" t="s">
        <v>878</v>
      </c>
      <c r="D16" s="178" t="s">
        <v>881</v>
      </c>
      <c r="E16" s="37">
        <v>0</v>
      </c>
      <c r="G16" s="173" t="s">
        <v>861</v>
      </c>
      <c r="J16" s="62">
        <f>J12/J14</f>
        <v>0.8157629131621652</v>
      </c>
      <c r="L16" s="173" t="s">
        <v>861</v>
      </c>
      <c r="O16" s="62">
        <f>O12/O14</f>
        <v>0.80479739751789592</v>
      </c>
    </row>
    <row r="17" spans="2:15" x14ac:dyDescent="0.2">
      <c r="C17" s="171" t="s">
        <v>883</v>
      </c>
      <c r="D17" s="178" t="s">
        <v>881</v>
      </c>
      <c r="E17" s="37">
        <f>-'3_Statment_model'!$G$166-'3_Statment_model'!$G$173</f>
        <v>1566</v>
      </c>
      <c r="G17" s="171"/>
      <c r="L17" s="171"/>
    </row>
    <row r="18" spans="2:15" x14ac:dyDescent="0.2">
      <c r="C18" s="171" t="s">
        <v>879</v>
      </c>
      <c r="D18" s="178" t="s">
        <v>881</v>
      </c>
      <c r="E18" s="37">
        <f>'3_Statment_model'!$G$183</f>
        <v>107</v>
      </c>
      <c r="G18" s="171" t="s">
        <v>862</v>
      </c>
      <c r="J18" s="37">
        <f>-E14</f>
        <v>575</v>
      </c>
      <c r="L18" s="171" t="s">
        <v>862</v>
      </c>
      <c r="O18" s="37">
        <f>-E14</f>
        <v>575</v>
      </c>
    </row>
    <row r="19" spans="2:15" x14ac:dyDescent="0.2">
      <c r="C19" s="171" t="s">
        <v>886</v>
      </c>
      <c r="D19" s="178" t="s">
        <v>881</v>
      </c>
      <c r="E19" s="70">
        <v>-202</v>
      </c>
      <c r="G19" s="171" t="s">
        <v>884</v>
      </c>
      <c r="J19" s="37">
        <f>-E15</f>
        <v>-5426</v>
      </c>
      <c r="L19" s="171" t="s">
        <v>884</v>
      </c>
      <c r="O19" s="37">
        <f>-E15</f>
        <v>-5426</v>
      </c>
    </row>
    <row r="20" spans="2:15" x14ac:dyDescent="0.2">
      <c r="C20" s="287" t="s">
        <v>880</v>
      </c>
      <c r="D20" s="288" t="s">
        <v>881</v>
      </c>
      <c r="E20" s="289">
        <f>SUM(E13:E19)</f>
        <v>62924.35</v>
      </c>
      <c r="G20" s="171" t="s">
        <v>863</v>
      </c>
      <c r="J20" s="37">
        <f>-E16</f>
        <v>0</v>
      </c>
      <c r="L20" s="171" t="s">
        <v>863</v>
      </c>
      <c r="O20" s="37">
        <f>-E16</f>
        <v>0</v>
      </c>
    </row>
    <row r="21" spans="2:15" x14ac:dyDescent="0.2">
      <c r="G21" s="171" t="s">
        <v>885</v>
      </c>
      <c r="J21" s="37">
        <f>-E17</f>
        <v>-1566</v>
      </c>
      <c r="L21" s="171" t="s">
        <v>885</v>
      </c>
      <c r="O21" s="37">
        <f>-E17</f>
        <v>-1566</v>
      </c>
    </row>
    <row r="22" spans="2:15" x14ac:dyDescent="0.2">
      <c r="G22" s="171" t="s">
        <v>864</v>
      </c>
      <c r="J22" s="37">
        <f>-E18</f>
        <v>-107</v>
      </c>
      <c r="L22" s="171" t="s">
        <v>864</v>
      </c>
      <c r="O22" s="37">
        <f>-E18</f>
        <v>-107</v>
      </c>
    </row>
    <row r="23" spans="2:15" x14ac:dyDescent="0.2">
      <c r="G23" s="171" t="s">
        <v>887</v>
      </c>
      <c r="J23" s="37">
        <f>-E19</f>
        <v>202</v>
      </c>
      <c r="L23" s="171" t="s">
        <v>887</v>
      </c>
      <c r="O23" s="37">
        <f>-E19</f>
        <v>202</v>
      </c>
    </row>
    <row r="24" spans="2:15" x14ac:dyDescent="0.2">
      <c r="G24" s="290" t="s">
        <v>865</v>
      </c>
      <c r="H24" s="290"/>
      <c r="I24" s="290"/>
      <c r="J24" s="291">
        <f>SUM(J14,J18:J23)</f>
        <v>50505.179649062738</v>
      </c>
      <c r="L24" s="290" t="s">
        <v>865</v>
      </c>
      <c r="M24" s="290"/>
      <c r="N24" s="290"/>
      <c r="O24" s="291">
        <f>SUM(O14,O18:O23)</f>
        <v>47312.910081249844</v>
      </c>
    </row>
    <row r="25" spans="2:15" x14ac:dyDescent="0.2">
      <c r="D25" s="158"/>
      <c r="G25" s="171"/>
      <c r="L25" s="171"/>
    </row>
    <row r="26" spans="2:15" x14ac:dyDescent="0.2">
      <c r="E26" s="158"/>
      <c r="G26" s="92" t="s">
        <v>866</v>
      </c>
      <c r="J26">
        <f>E9</f>
        <v>1785</v>
      </c>
      <c r="L26" s="92" t="s">
        <v>866</v>
      </c>
      <c r="O26">
        <f>E9</f>
        <v>1785</v>
      </c>
    </row>
    <row r="27" spans="2:15" x14ac:dyDescent="0.2">
      <c r="G27" s="171"/>
      <c r="L27" s="171"/>
    </row>
    <row r="28" spans="2:15" x14ac:dyDescent="0.2">
      <c r="G28" s="174" t="s">
        <v>867</v>
      </c>
      <c r="H28" s="175"/>
      <c r="I28" s="175"/>
      <c r="J28" s="507">
        <f>J24/J26</f>
        <v>28.294218290791449</v>
      </c>
      <c r="L28" s="174" t="s">
        <v>867</v>
      </c>
      <c r="M28" s="175"/>
      <c r="N28" s="175"/>
      <c r="O28" s="507">
        <f>O24/O26</f>
        <v>26.50583197829123</v>
      </c>
    </row>
    <row r="29" spans="2:15" x14ac:dyDescent="0.2">
      <c r="G29" s="176" t="s">
        <v>868</v>
      </c>
      <c r="H29" s="177"/>
      <c r="I29" s="177"/>
      <c r="J29" s="179">
        <f>(J28-$E$8)/$E$8</f>
        <v>-0.10771938534243305</v>
      </c>
      <c r="L29" s="176" t="s">
        <v>868</v>
      </c>
      <c r="M29" s="177"/>
      <c r="N29" s="177"/>
      <c r="O29" s="179">
        <f>(O28-$E$8)/$E$8</f>
        <v>-0.16411756612137404</v>
      </c>
    </row>
    <row r="31" spans="2:15" x14ac:dyDescent="0.2">
      <c r="B31" s="1"/>
      <c r="C31" s="1"/>
      <c r="D31" s="3"/>
      <c r="E31" s="10"/>
      <c r="F31" s="10" t="s">
        <v>4</v>
      </c>
      <c r="G31" s="12"/>
      <c r="H31" s="13"/>
      <c r="I31" s="14"/>
      <c r="J31" s="14" t="s">
        <v>5</v>
      </c>
      <c r="K31" s="14"/>
      <c r="L31" s="14"/>
    </row>
    <row r="32" spans="2:15" x14ac:dyDescent="0.2">
      <c r="B32" s="2" t="s">
        <v>824</v>
      </c>
      <c r="C32" s="1"/>
      <c r="D32" s="9" t="s">
        <v>3</v>
      </c>
      <c r="E32" s="45">
        <f>EOMONTH(F32,-12)</f>
        <v>45199</v>
      </c>
      <c r="F32" s="45">
        <f>EOMONTH(G32,-12)</f>
        <v>45565</v>
      </c>
      <c r="G32" s="46">
        <f>E6</f>
        <v>45930</v>
      </c>
      <c r="H32" s="45">
        <f>EOMONTH(G32,12)</f>
        <v>46295</v>
      </c>
      <c r="I32" s="45">
        <f t="shared" ref="I32:L32" si="0">EOMONTH(H32,12)</f>
        <v>46660</v>
      </c>
      <c r="J32" s="45">
        <f t="shared" si="0"/>
        <v>47026</v>
      </c>
      <c r="K32" s="45">
        <f t="shared" si="0"/>
        <v>47391</v>
      </c>
      <c r="L32" s="45">
        <f t="shared" si="0"/>
        <v>47756</v>
      </c>
    </row>
    <row r="33" spans="3:12" x14ac:dyDescent="0.2">
      <c r="C33" s="15" t="str">
        <f>'3_Statment_model'!C127</f>
        <v>Revenue:</v>
      </c>
      <c r="D33" s="15" t="str">
        <f>'3_Statment_model'!D127</f>
        <v>$M</v>
      </c>
      <c r="E33" s="185">
        <f>'3_Statment_model'!E127</f>
        <v>37907</v>
      </c>
      <c r="F33" s="185">
        <f>'3_Statment_model'!F127</f>
        <v>42002</v>
      </c>
      <c r="G33" s="185">
        <f>'3_Statment_model'!G127</f>
        <v>46070</v>
      </c>
      <c r="H33" s="185">
        <f>'3_Statment_model'!H127</f>
        <v>49755.600000000006</v>
      </c>
      <c r="I33" s="185">
        <f>'3_Statment_model'!I127</f>
        <v>53561.90340000001</v>
      </c>
      <c r="J33" s="185">
        <f>'3_Statment_model'!J127</f>
        <v>57471.922348200009</v>
      </c>
      <c r="K33" s="185">
        <f>'3_Statment_model'!K127</f>
        <v>61466.220951399919</v>
      </c>
      <c r="L33" s="185">
        <f>'3_Statment_model'!L127</f>
        <v>65522.991534192319</v>
      </c>
    </row>
    <row r="34" spans="3:12" x14ac:dyDescent="0.2">
      <c r="C34" s="26" t="str">
        <f>'3_Statment_model'!C128</f>
        <v>(-) Direct Costs:</v>
      </c>
      <c r="D34" s="28" t="str">
        <f>'3_Statment_model'!D128</f>
        <v>$M</v>
      </c>
      <c r="E34" s="186">
        <f>'3_Statment_model'!E128</f>
        <v>-12254</v>
      </c>
      <c r="F34" s="186">
        <f>'3_Statment_model'!F128</f>
        <v>-13293</v>
      </c>
      <c r="G34" s="186">
        <f>'3_Statment_model'!G128</f>
        <v>-14212</v>
      </c>
      <c r="H34" s="186">
        <f>'3_Statment_model'!H128</f>
        <v>-15225.213600000001</v>
      </c>
      <c r="I34" s="186">
        <f>'3_Statment_model'!I128</f>
        <v>-16282.818633600004</v>
      </c>
      <c r="J34" s="186">
        <f>'3_Statment_model'!J128</f>
        <v>-17356.520549156401</v>
      </c>
      <c r="K34" s="186">
        <f>'3_Statment_model'!K128</f>
        <v>-18439.866285419976</v>
      </c>
      <c r="L34" s="186">
        <f>'3_Statment_model'!L128</f>
        <v>-19656.897460257696</v>
      </c>
    </row>
    <row r="35" spans="3:12" x14ac:dyDescent="0.2">
      <c r="C35" s="26" t="str">
        <f>'3_Statment_model'!C129</f>
        <v>(-) SG&amp;A:</v>
      </c>
      <c r="D35" s="28" t="str">
        <f>'3_Statment_model'!D129</f>
        <v>$M</v>
      </c>
      <c r="E35" s="186">
        <f>'3_Statment_model'!E129</f>
        <v>-22175</v>
      </c>
      <c r="F35" s="186">
        <f>'3_Statment_model'!F129</f>
        <v>-24711</v>
      </c>
      <c r="G35" s="186">
        <f>'3_Statment_model'!G129</f>
        <v>-27373</v>
      </c>
      <c r="H35" s="186">
        <f>'3_Statment_model'!H129</f>
        <v>-29654.337600000003</v>
      </c>
      <c r="I35" s="186">
        <f>'3_Statment_model'!I129</f>
        <v>-32030.018233200004</v>
      </c>
      <c r="J35" s="186">
        <f>'3_Statment_model'!J129</f>
        <v>-34483.153408920007</v>
      </c>
      <c r="K35" s="186">
        <f>'3_Statment_model'!K129</f>
        <v>-36879.732570839951</v>
      </c>
      <c r="L35" s="186">
        <f>'3_Statment_model'!L129</f>
        <v>-39313.794920515393</v>
      </c>
    </row>
    <row r="36" spans="3:12" x14ac:dyDescent="0.2">
      <c r="C36" s="26" t="str">
        <f>'3_Statment_model'!C130</f>
        <v>(-) Depreciation and Amortisation:</v>
      </c>
      <c r="D36" s="28" t="str">
        <f>'3_Statment_model'!D130</f>
        <v>$M</v>
      </c>
      <c r="E36" s="186">
        <f>'3_Statment_model'!E130</f>
        <v>-952</v>
      </c>
      <c r="F36" s="186">
        <f>'3_Statment_model'!F130</f>
        <v>-1050</v>
      </c>
      <c r="G36" s="186">
        <f>'3_Statment_model'!G130</f>
        <v>-1190</v>
      </c>
      <c r="H36" s="186">
        <f>'3_Statment_model'!H130</f>
        <v>-1355.0429704300657</v>
      </c>
      <c r="I36" s="186">
        <f>'3_Statment_model'!I130</f>
        <v>-1416.4544095620593</v>
      </c>
      <c r="J36" s="186">
        <f>'3_Statment_model'!J130</f>
        <v>-1490.9434265219206</v>
      </c>
      <c r="K36" s="186">
        <f>'3_Statment_model'!K130</f>
        <v>-1576.6616624509011</v>
      </c>
      <c r="L36" s="186">
        <f>'3_Statment_model'!L130</f>
        <v>-1672.5333969722724</v>
      </c>
    </row>
    <row r="37" spans="3:12" x14ac:dyDescent="0.2">
      <c r="C37" s="26" t="str">
        <f>'3_Statment_model'!C131</f>
        <v>(-) Restructuring / Integration:</v>
      </c>
      <c r="D37" s="28" t="str">
        <f>'3_Statment_model'!D131</f>
        <v>$M</v>
      </c>
      <c r="E37" s="186">
        <f>'3_Statment_model'!E131</f>
        <v>-281</v>
      </c>
      <c r="F37" s="186">
        <f>'3_Statment_model'!F131</f>
        <v>-408</v>
      </c>
      <c r="G37" s="186">
        <f>'3_Statment_model'!G131</f>
        <v>-368</v>
      </c>
      <c r="H37" s="186">
        <f>'3_Statment_model'!H131</f>
        <v>-352.33333333333331</v>
      </c>
      <c r="I37" s="186">
        <f>'3_Statment_model'!I131</f>
        <v>-352.33333333333331</v>
      </c>
      <c r="J37" s="186">
        <f>'3_Statment_model'!J131</f>
        <v>-352.33333333333331</v>
      </c>
      <c r="K37" s="186">
        <f>'3_Statment_model'!K131</f>
        <v>-352.33333333333331</v>
      </c>
      <c r="L37" s="186">
        <f>'3_Statment_model'!L131</f>
        <v>-352.33333333333331</v>
      </c>
    </row>
    <row r="38" spans="3:12" x14ac:dyDescent="0.2">
      <c r="C38" s="26" t="str">
        <f>'3_Statment_model'!C132</f>
        <v>(+) Share of Results of Joint Ventures and Associates:</v>
      </c>
      <c r="D38" s="28" t="str">
        <f>'3_Statment_model'!D132</f>
        <v>$M</v>
      </c>
      <c r="E38" s="186">
        <f>'3_Statment_model'!E132</f>
        <v>68</v>
      </c>
      <c r="F38" s="186">
        <f>'3_Statment_model'!F132</f>
        <v>44</v>
      </c>
      <c r="G38" s="186">
        <f>'3_Statment_model'!G132</f>
        <v>37</v>
      </c>
      <c r="H38" s="186">
        <f>'3_Statment_model'!H132</f>
        <v>0</v>
      </c>
      <c r="I38" s="186">
        <f>'3_Statment_model'!I132</f>
        <v>0</v>
      </c>
      <c r="J38" s="186">
        <f>'3_Statment_model'!J132</f>
        <v>0</v>
      </c>
      <c r="K38" s="186">
        <f>'3_Statment_model'!K132</f>
        <v>0</v>
      </c>
      <c r="L38" s="186">
        <f>'3_Statment_model'!L132</f>
        <v>0</v>
      </c>
    </row>
    <row r="39" spans="3:12" x14ac:dyDescent="0.2">
      <c r="C39" s="27" t="str">
        <f>'3_Statment_model'!C133</f>
        <v>Operating Income (EBIT):</v>
      </c>
      <c r="D39" s="27" t="str">
        <f>'3_Statment_model'!D133</f>
        <v>$M</v>
      </c>
      <c r="E39" s="36">
        <f t="shared" ref="E39:L39" si="1">SUM(E33:E38)</f>
        <v>2313</v>
      </c>
      <c r="F39" s="36">
        <f t="shared" si="1"/>
        <v>2584</v>
      </c>
      <c r="G39" s="36">
        <f t="shared" si="1"/>
        <v>2964</v>
      </c>
      <c r="H39" s="36">
        <f t="shared" si="1"/>
        <v>3168.6724962366011</v>
      </c>
      <c r="I39" s="36">
        <f t="shared" si="1"/>
        <v>3480.278790304606</v>
      </c>
      <c r="J39" s="36">
        <f t="shared" si="1"/>
        <v>3788.9716302683505</v>
      </c>
      <c r="K39" s="36">
        <f t="shared" si="1"/>
        <v>4217.6270993557619</v>
      </c>
      <c r="L39" s="36">
        <f t="shared" si="1"/>
        <v>4527.4324231136279</v>
      </c>
    </row>
    <row r="40" spans="3:12" x14ac:dyDescent="0.2">
      <c r="C40" s="15"/>
      <c r="D40" s="15"/>
      <c r="E40" s="35"/>
      <c r="F40" s="35"/>
      <c r="G40" s="35"/>
      <c r="H40" s="35"/>
      <c r="I40" s="35"/>
      <c r="J40" s="35"/>
      <c r="K40" s="35"/>
      <c r="L40" s="35"/>
    </row>
    <row r="41" spans="3:12" x14ac:dyDescent="0.2">
      <c r="C41" s="17" t="s">
        <v>825</v>
      </c>
      <c r="D41" s="28" t="str">
        <f>'3_Statment_model'!D135</f>
        <v>$M</v>
      </c>
      <c r="E41" s="188">
        <f>-E39*'3_Statment_model'!E21</f>
        <v>-568.238184370613</v>
      </c>
      <c r="F41" s="188">
        <f>-F39*'3_Statment_model'!F21</f>
        <v>-806.8715953307393</v>
      </c>
      <c r="G41" s="188">
        <f>-G39*'3_Statment_model'!G21</f>
        <v>-807.52941176470586</v>
      </c>
      <c r="H41" s="188">
        <f>-H39*'3_Statment_model'!H21</f>
        <v>-877.06122442241838</v>
      </c>
      <c r="I41" s="188">
        <f>-I39*'3_Statment_model'!I21</f>
        <v>-963.31115973053545</v>
      </c>
      <c r="J41" s="188">
        <f>-J39*'3_Statment_model'!J21</f>
        <v>-1048.7546760644557</v>
      </c>
      <c r="K41" s="188">
        <f>-K39*'3_Statment_model'!K21</f>
        <v>-1167.4028137371533</v>
      </c>
      <c r="L41" s="188">
        <f>-L39*'3_Statment_model'!L21</f>
        <v>-1253.154255992664</v>
      </c>
    </row>
    <row r="42" spans="3:12" x14ac:dyDescent="0.2">
      <c r="C42" s="27" t="s">
        <v>826</v>
      </c>
      <c r="D42" s="27" t="str">
        <f>'3_Statment_model'!D136</f>
        <v>$M</v>
      </c>
      <c r="E42" s="36">
        <f>SUM(E39:E41)</f>
        <v>1744.761815629387</v>
      </c>
      <c r="F42" s="36">
        <f t="shared" ref="F42:L42" si="2">SUM(F39:F41)</f>
        <v>1777.1284046692608</v>
      </c>
      <c r="G42" s="36">
        <f t="shared" si="2"/>
        <v>2156.4705882352941</v>
      </c>
      <c r="H42" s="36">
        <f t="shared" si="2"/>
        <v>2291.6112718141826</v>
      </c>
      <c r="I42" s="36">
        <f t="shared" si="2"/>
        <v>2516.9676305740704</v>
      </c>
      <c r="J42" s="36">
        <f t="shared" si="2"/>
        <v>2740.2169542038946</v>
      </c>
      <c r="K42" s="36">
        <f t="shared" si="2"/>
        <v>3050.2242856186085</v>
      </c>
      <c r="L42" s="36">
        <f t="shared" si="2"/>
        <v>3274.2781671209641</v>
      </c>
    </row>
    <row r="43" spans="3:12" x14ac:dyDescent="0.2">
      <c r="C43" s="15"/>
      <c r="D43" s="15"/>
      <c r="E43" s="35"/>
      <c r="F43" s="35"/>
      <c r="G43" s="35"/>
      <c r="H43" s="35"/>
      <c r="I43" s="35"/>
      <c r="J43" s="35"/>
      <c r="K43" s="35"/>
      <c r="L43" s="35"/>
    </row>
    <row r="44" spans="3:12" x14ac:dyDescent="0.2">
      <c r="C44" s="17" t="s">
        <v>50</v>
      </c>
      <c r="D44" s="28" t="str">
        <f>'3_Statment_model'!D137</f>
        <v>$M</v>
      </c>
      <c r="E44" s="187">
        <f>SUM('3_Statment_model'!E191:E192)</f>
        <v>1018</v>
      </c>
      <c r="F44" s="187">
        <f>SUM('3_Statment_model'!F191:F192)</f>
        <v>1144</v>
      </c>
      <c r="G44" s="187">
        <f>SUM('3_Statment_model'!G191:G192)</f>
        <v>1302</v>
      </c>
      <c r="H44" s="187">
        <f>SUM('3_Statment_model'!H191:H192)</f>
        <v>1355.0429704300657</v>
      </c>
      <c r="I44" s="187">
        <f>SUM('3_Statment_model'!I191:I192)</f>
        <v>1416.4544095620593</v>
      </c>
      <c r="J44" s="187">
        <f>SUM('3_Statment_model'!J191:J192)</f>
        <v>1490.9434265219206</v>
      </c>
      <c r="K44" s="187">
        <f>SUM('3_Statment_model'!K191:K192)</f>
        <v>1576.6616624509011</v>
      </c>
      <c r="L44" s="187">
        <f>SUM('3_Statment_model'!L191:L192)</f>
        <v>1672.5333969722724</v>
      </c>
    </row>
    <row r="45" spans="3:12" x14ac:dyDescent="0.2">
      <c r="C45" s="17" t="s">
        <v>51</v>
      </c>
      <c r="D45" s="28" t="str">
        <f>'3_Statment_model'!D138</f>
        <v>$M</v>
      </c>
      <c r="E45" s="187">
        <f>'3_Statment_model'!E194</f>
        <v>-120</v>
      </c>
      <c r="F45" s="187">
        <f>'3_Statment_model'!F194</f>
        <v>186</v>
      </c>
      <c r="G45" s="187">
        <f>'3_Statment_model'!G194</f>
        <v>-40</v>
      </c>
      <c r="H45" s="187">
        <f>'3_Statment_model'!H194</f>
        <v>40.169326745284707</v>
      </c>
      <c r="I45" s="187">
        <f>'3_Statment_model'!I194</f>
        <v>101.37951960654016</v>
      </c>
      <c r="J45" s="187">
        <f>'3_Statment_model'!J194</f>
        <v>92.823282690107817</v>
      </c>
      <c r="K45" s="187">
        <f>'3_Statment_model'!K194</f>
        <v>94.711763917488838</v>
      </c>
      <c r="L45" s="187">
        <f>'3_Statment_model'!L194</f>
        <v>157.53165566174926</v>
      </c>
    </row>
    <row r="46" spans="3:12" x14ac:dyDescent="0.2">
      <c r="C46" s="17" t="s">
        <v>53</v>
      </c>
      <c r="D46" s="28" t="str">
        <f>'3_Statment_model'!D140</f>
        <v>$M</v>
      </c>
      <c r="E46" s="187">
        <f>'3_Statment_model'!E198</f>
        <v>-1010</v>
      </c>
      <c r="F46" s="187">
        <f>'3_Statment_model'!F198</f>
        <v>-1328</v>
      </c>
      <c r="G46" s="187">
        <f>'3_Statment_model'!G198</f>
        <v>-1317</v>
      </c>
      <c r="H46" s="187">
        <f>'3_Statment_model'!H198</f>
        <v>-1440.401904628045</v>
      </c>
      <c r="I46" s="187">
        <f>'3_Statment_model'!I198</f>
        <v>-1574.7199599600003</v>
      </c>
      <c r="J46" s="187">
        <f>'3_Statment_model'!J198</f>
        <v>-1712.6632859763604</v>
      </c>
      <c r="K46" s="187">
        <f>'3_Statment_model'!K198</f>
        <v>-1856.2798727322775</v>
      </c>
      <c r="L46" s="187">
        <f>'3_Statment_model'!L198</f>
        <v>-2005.0035409462848</v>
      </c>
    </row>
    <row r="47" spans="3:12" x14ac:dyDescent="0.2">
      <c r="C47" s="17"/>
      <c r="D47" s="28"/>
      <c r="E47" s="37"/>
      <c r="F47" s="37"/>
      <c r="G47" s="37"/>
      <c r="H47" s="37"/>
      <c r="I47" s="37"/>
      <c r="J47" s="37"/>
      <c r="K47" s="37"/>
      <c r="L47" s="37"/>
    </row>
    <row r="48" spans="3:12" ht="17" thickBot="1" x14ac:dyDescent="0.25">
      <c r="C48" s="128" t="s">
        <v>827</v>
      </c>
      <c r="D48" s="128" t="str">
        <f>'3_Statment_model'!D142</f>
        <v>$M</v>
      </c>
      <c r="E48" s="130">
        <f t="shared" ref="E48:L48" si="3">SUM(E42:E46)</f>
        <v>1632.761815629387</v>
      </c>
      <c r="F48" s="130">
        <f t="shared" si="3"/>
        <v>1779.1284046692608</v>
      </c>
      <c r="G48" s="130">
        <f t="shared" si="3"/>
        <v>2101.4705882352941</v>
      </c>
      <c r="H48" s="130">
        <f t="shared" si="3"/>
        <v>2246.4216643614877</v>
      </c>
      <c r="I48" s="130">
        <f t="shared" si="3"/>
        <v>2460.0815997826699</v>
      </c>
      <c r="J48" s="130">
        <f t="shared" si="3"/>
        <v>2611.3203774395624</v>
      </c>
      <c r="K48" s="130">
        <f t="shared" si="3"/>
        <v>2865.3178392547211</v>
      </c>
      <c r="L48" s="130">
        <f t="shared" si="3"/>
        <v>3099.3396788087007</v>
      </c>
    </row>
    <row r="49" spans="2:14" ht="17" thickTop="1" x14ac:dyDescent="0.2"/>
    <row r="50" spans="2:14" x14ac:dyDescent="0.2">
      <c r="B50" s="1"/>
      <c r="C50" s="1"/>
      <c r="D50" s="1"/>
      <c r="E50" s="1"/>
      <c r="F50" s="1"/>
      <c r="G50" s="1"/>
      <c r="H50" s="1"/>
      <c r="I50" s="1"/>
      <c r="J50" s="1"/>
      <c r="K50" s="1"/>
      <c r="L50" s="1"/>
      <c r="M50" s="1"/>
    </row>
    <row r="51" spans="2:14" x14ac:dyDescent="0.2">
      <c r="B51" s="2" t="s">
        <v>828</v>
      </c>
      <c r="C51" s="1"/>
      <c r="D51" s="1"/>
      <c r="E51" s="1"/>
      <c r="F51" s="1"/>
      <c r="G51" s="1"/>
      <c r="H51" s="1"/>
      <c r="I51" s="1"/>
      <c r="J51" s="1"/>
      <c r="K51" s="1"/>
      <c r="L51" s="1"/>
      <c r="M51" s="1"/>
      <c r="N51" s="63"/>
    </row>
    <row r="52" spans="2:14" x14ac:dyDescent="0.2">
      <c r="C52" s="92" t="s">
        <v>1037</v>
      </c>
      <c r="D52" s="154">
        <v>4.8800000000000003E-2</v>
      </c>
    </row>
    <row r="53" spans="2:14" x14ac:dyDescent="0.2">
      <c r="C53" s="92" t="s">
        <v>843</v>
      </c>
      <c r="D53" s="153">
        <v>5.0099999999999999E-2</v>
      </c>
    </row>
    <row r="54" spans="2:14" x14ac:dyDescent="0.2">
      <c r="C54" s="92" t="s">
        <v>844</v>
      </c>
      <c r="D54" s="497">
        <f>(0.0385*337+0.0364*300+0.015*554+0.02*360+0.03*578+0.0325*889+0.0313*815+0.0438*314+0.0325*572)/4719</f>
        <v>3.0406802288620471E-2</v>
      </c>
    </row>
    <row r="55" spans="2:14" x14ac:dyDescent="0.2">
      <c r="C55" s="92" t="s">
        <v>845</v>
      </c>
      <c r="D55" s="153">
        <v>0</v>
      </c>
    </row>
    <row r="57" spans="2:14" x14ac:dyDescent="0.2">
      <c r="C57" s="132" t="s">
        <v>837</v>
      </c>
      <c r="D57" s="134"/>
      <c r="E57" s="134" t="s">
        <v>829</v>
      </c>
      <c r="F57" s="134"/>
      <c r="G57" s="134"/>
      <c r="H57" s="134" t="s">
        <v>799</v>
      </c>
      <c r="I57" s="134"/>
      <c r="J57" s="134" t="s">
        <v>830</v>
      </c>
      <c r="K57" s="134"/>
      <c r="L57" s="134"/>
      <c r="M57" s="135" t="s">
        <v>831</v>
      </c>
    </row>
    <row r="58" spans="2:14" x14ac:dyDescent="0.2">
      <c r="C58" s="133" t="s">
        <v>832</v>
      </c>
      <c r="D58" s="136" t="s">
        <v>833</v>
      </c>
      <c r="E58" s="136" t="s">
        <v>797</v>
      </c>
      <c r="F58" s="136" t="s">
        <v>838</v>
      </c>
      <c r="G58" s="136" t="s">
        <v>834</v>
      </c>
      <c r="H58" s="136" t="s">
        <v>839</v>
      </c>
      <c r="I58" s="136" t="s">
        <v>835</v>
      </c>
      <c r="J58" s="136" t="s">
        <v>801</v>
      </c>
      <c r="K58" s="136" t="s">
        <v>836</v>
      </c>
      <c r="L58" s="136" t="s">
        <v>798</v>
      </c>
      <c r="M58" s="137" t="s">
        <v>797</v>
      </c>
    </row>
    <row r="59" spans="2:14" x14ac:dyDescent="0.2">
      <c r="C59" t="s">
        <v>789</v>
      </c>
      <c r="D59" s="51" t="s">
        <v>793</v>
      </c>
      <c r="E59" s="141">
        <f>Public_Comps!F12</f>
        <v>0.19</v>
      </c>
      <c r="F59" s="142">
        <v>5589</v>
      </c>
      <c r="G59" s="143">
        <f>F59/(F59+H59+J59)</f>
        <v>0.36844881007317554</v>
      </c>
      <c r="H59" s="142">
        <v>0</v>
      </c>
      <c r="I59" s="145">
        <f>H59/(F59+H59+J59)</f>
        <v>0</v>
      </c>
      <c r="J59" s="182">
        <f>Public_Comps!E12</f>
        <v>9580</v>
      </c>
      <c r="K59" s="143">
        <f>J59/(F59+H59+J59)</f>
        <v>0.63155118992682446</v>
      </c>
      <c r="L59" s="189">
        <f>Public_Comps!G12</f>
        <v>0.25900000000000001</v>
      </c>
      <c r="M59" s="140">
        <f>E59/(1+F59/J59*(1-L59)+H59/J59)</f>
        <v>0.13265362863645086</v>
      </c>
    </row>
    <row r="60" spans="2:14" x14ac:dyDescent="0.2">
      <c r="C60" t="s">
        <v>790</v>
      </c>
      <c r="D60" s="51" t="s">
        <v>794</v>
      </c>
      <c r="E60" s="141">
        <f>Public_Comps!F13</f>
        <v>1.18</v>
      </c>
      <c r="F60" s="142">
        <v>5349</v>
      </c>
      <c r="G60" s="143">
        <f>F60/(F60+H60+J60)</f>
        <v>0.26312164887598999</v>
      </c>
      <c r="H60" s="142">
        <v>0</v>
      </c>
      <c r="I60" s="145">
        <f t="shared" ref="I60:I63" si="4">H60/(F60+H60+J60)</f>
        <v>0</v>
      </c>
      <c r="J60" s="182">
        <f>Public_Comps!E13</f>
        <v>14980</v>
      </c>
      <c r="K60" s="143">
        <f>J60/(F60+H60+J60)</f>
        <v>0.73687835112401001</v>
      </c>
      <c r="L60" s="189">
        <f>Public_Comps!G13</f>
        <v>0.25700000000000001</v>
      </c>
      <c r="M60" s="140">
        <f t="shared" ref="M60:M63" si="5">E60/(1+F60/J60*(1-L60)+H60/J60)</f>
        <v>0.9325795978718715</v>
      </c>
    </row>
    <row r="61" spans="2:14" x14ac:dyDescent="0.2">
      <c r="C61" t="s">
        <v>791</v>
      </c>
      <c r="D61" s="51" t="s">
        <v>795</v>
      </c>
      <c r="E61" s="141">
        <f>Public_Comps!F14</f>
        <v>1.87</v>
      </c>
      <c r="F61" s="142">
        <v>1353</v>
      </c>
      <c r="G61" s="143">
        <f>F61/(F61+H61+J61)</f>
        <v>0.68715083798882681</v>
      </c>
      <c r="H61" s="142">
        <v>0</v>
      </c>
      <c r="I61" s="145">
        <f t="shared" si="4"/>
        <v>0</v>
      </c>
      <c r="J61" s="182">
        <f>Public_Comps!E14</f>
        <v>616</v>
      </c>
      <c r="K61" s="143">
        <f>J61/(F61+H61+J61)</f>
        <v>0.31284916201117319</v>
      </c>
      <c r="L61" s="189">
        <f>Public_Comps!G14</f>
        <v>0.32200000000000001</v>
      </c>
      <c r="M61" s="140">
        <f t="shared" si="5"/>
        <v>0.75125184728180561</v>
      </c>
    </row>
    <row r="62" spans="2:14" x14ac:dyDescent="0.2">
      <c r="C62" t="s">
        <v>792</v>
      </c>
      <c r="D62" s="51" t="s">
        <v>796</v>
      </c>
      <c r="E62" s="141">
        <f>Public_Comps!F15</f>
        <v>0.85</v>
      </c>
      <c r="F62" s="142">
        <v>2011</v>
      </c>
      <c r="G62" s="143">
        <f>F62/(F62+H62+J62)</f>
        <v>0.22441691775471487</v>
      </c>
      <c r="H62" s="142">
        <v>0</v>
      </c>
      <c r="I62" s="145">
        <f t="shared" si="4"/>
        <v>0</v>
      </c>
      <c r="J62" s="182">
        <f>Public_Comps!E15</f>
        <v>6950</v>
      </c>
      <c r="K62" s="143">
        <f>J62/(F62+H62+J62)</f>
        <v>0.77558308224528516</v>
      </c>
      <c r="L62" s="189">
        <f>Public_Comps!G15</f>
        <v>0.20599999999999999</v>
      </c>
      <c r="M62" s="140">
        <f t="shared" si="5"/>
        <v>0.69119970271685061</v>
      </c>
    </row>
    <row r="63" spans="2:14" x14ac:dyDescent="0.2">
      <c r="C63" t="s">
        <v>808</v>
      </c>
      <c r="D63" s="51" t="s">
        <v>809</v>
      </c>
      <c r="E63" s="141">
        <f>Public_Comps!F16</f>
        <v>0.91</v>
      </c>
      <c r="F63" s="142">
        <v>916</v>
      </c>
      <c r="G63" s="143">
        <f>F63/(F63+H63+J63)</f>
        <v>0.30987821380243574</v>
      </c>
      <c r="H63" s="142">
        <v>0</v>
      </c>
      <c r="I63" s="145">
        <f t="shared" si="4"/>
        <v>0</v>
      </c>
      <c r="J63" s="182">
        <f>Public_Comps!E16</f>
        <v>2040</v>
      </c>
      <c r="K63" s="143">
        <f>J63/(F63+H63+J63)</f>
        <v>0.69012178619756426</v>
      </c>
      <c r="L63" s="189">
        <f>Public_Comps!G16</f>
        <v>0.22500000000000001</v>
      </c>
      <c r="M63" s="140">
        <f t="shared" si="5"/>
        <v>0.67507909378522846</v>
      </c>
    </row>
    <row r="64" spans="2:14" x14ac:dyDescent="0.2">
      <c r="E64" s="51"/>
      <c r="F64" s="51"/>
      <c r="G64" s="51"/>
      <c r="H64" s="51"/>
      <c r="I64" s="51"/>
      <c r="J64" s="51"/>
      <c r="K64" s="51"/>
      <c r="L64" s="51"/>
    </row>
    <row r="65" spans="2:15" x14ac:dyDescent="0.2">
      <c r="C65" s="104" t="s">
        <v>812</v>
      </c>
      <c r="D65" s="105"/>
      <c r="E65" s="151">
        <f>MEDIAN(E59:E63)</f>
        <v>0.91</v>
      </c>
      <c r="F65" s="146">
        <f>MEDIAN(F59:F63)</f>
        <v>2011</v>
      </c>
      <c r="G65" s="147">
        <f t="shared" ref="G65:M65" si="6">MEDIAN(G59:G63)</f>
        <v>0.30987821380243574</v>
      </c>
      <c r="H65" s="146">
        <f t="shared" si="6"/>
        <v>0</v>
      </c>
      <c r="I65" s="148">
        <f t="shared" si="6"/>
        <v>0</v>
      </c>
      <c r="J65" s="149">
        <f t="shared" si="6"/>
        <v>6950</v>
      </c>
      <c r="K65" s="147">
        <f t="shared" si="6"/>
        <v>0.69012178619756426</v>
      </c>
      <c r="L65" s="148">
        <f t="shared" si="6"/>
        <v>0.25700000000000001</v>
      </c>
      <c r="M65" s="150">
        <f t="shared" si="6"/>
        <v>0.69119970271685061</v>
      </c>
    </row>
    <row r="67" spans="2:15" x14ac:dyDescent="0.2">
      <c r="C67" s="132" t="s">
        <v>840</v>
      </c>
      <c r="D67" s="134"/>
      <c r="E67" s="134" t="s">
        <v>831</v>
      </c>
      <c r="F67" s="134"/>
      <c r="G67" s="134"/>
      <c r="H67" s="134" t="s">
        <v>799</v>
      </c>
      <c r="I67" s="134"/>
      <c r="J67" s="134" t="s">
        <v>830</v>
      </c>
      <c r="K67" s="134"/>
      <c r="L67" s="134"/>
      <c r="M67" s="135" t="s">
        <v>829</v>
      </c>
    </row>
    <row r="68" spans="2:15" x14ac:dyDescent="0.2">
      <c r="C68" s="133"/>
      <c r="D68" s="136" t="s">
        <v>833</v>
      </c>
      <c r="E68" s="136" t="s">
        <v>797</v>
      </c>
      <c r="F68" s="136" t="s">
        <v>838</v>
      </c>
      <c r="G68" s="136" t="s">
        <v>834</v>
      </c>
      <c r="H68" s="136" t="s">
        <v>839</v>
      </c>
      <c r="I68" s="136" t="s">
        <v>835</v>
      </c>
      <c r="J68" s="136" t="s">
        <v>801</v>
      </c>
      <c r="K68" s="136" t="s">
        <v>836</v>
      </c>
      <c r="L68" s="136" t="s">
        <v>798</v>
      </c>
      <c r="M68" s="137" t="s">
        <v>797</v>
      </c>
    </row>
    <row r="69" spans="2:15" x14ac:dyDescent="0.2">
      <c r="C69" t="s">
        <v>841</v>
      </c>
      <c r="D69" s="51" t="s">
        <v>821</v>
      </c>
      <c r="E69" s="141">
        <f>$M$65</f>
        <v>0.69119970271685061</v>
      </c>
      <c r="F69" s="187">
        <f>-'3_Statment_model'!G165-'3_Statment_model'!G172</f>
        <v>5426</v>
      </c>
      <c r="G69" s="143">
        <f>F69/(F69+H69+J69)</f>
        <v>8.7476129866423988E-2</v>
      </c>
      <c r="H69" s="142">
        <v>0</v>
      </c>
      <c r="I69" s="192">
        <f>H69/(F69+H69+J69)</f>
        <v>0</v>
      </c>
      <c r="J69" s="37">
        <f>E13</f>
        <v>56602.35</v>
      </c>
      <c r="K69" s="143">
        <f>J69/(F69+H69+J69)</f>
        <v>0.91252387013357605</v>
      </c>
      <c r="L69" s="190">
        <f>'3_Statment_model'!$G$21</f>
        <v>0.27244582043343651</v>
      </c>
      <c r="M69" s="139">
        <f>E69*(1+F69/J69*(1-L69)+H69/J69)</f>
        <v>0.73940715827714232</v>
      </c>
    </row>
    <row r="70" spans="2:15" x14ac:dyDescent="0.2">
      <c r="C70" t="s">
        <v>842</v>
      </c>
      <c r="D70" s="51" t="s">
        <v>821</v>
      </c>
      <c r="E70" s="141">
        <f>$M$65</f>
        <v>0.69119970271685061</v>
      </c>
      <c r="F70" s="37">
        <f>(F69+H69+J69)*G70</f>
        <v>19221.234303112316</v>
      </c>
      <c r="G70" s="152">
        <f>1-K70-I70</f>
        <v>0.30987821380243574</v>
      </c>
      <c r="H70" s="142">
        <v>0</v>
      </c>
      <c r="I70" s="191">
        <v>0</v>
      </c>
      <c r="J70" s="37">
        <f>(J69+H69+F69)*K70</f>
        <v>42807.115696887682</v>
      </c>
      <c r="K70" s="152">
        <f>K65</f>
        <v>0.69012178619756426</v>
      </c>
      <c r="L70" s="190">
        <f>'3_Statment_model'!$G$21</f>
        <v>0.27244582043343651</v>
      </c>
      <c r="M70" s="139">
        <f>E70*(1+F70/J70*(1-L70)+H70/J70)</f>
        <v>0.91700503266104616</v>
      </c>
    </row>
    <row r="72" spans="2:15" x14ac:dyDescent="0.2">
      <c r="C72" s="155" t="s">
        <v>846</v>
      </c>
      <c r="D72" s="156"/>
      <c r="E72" s="156"/>
      <c r="F72" s="161">
        <f>D52+D53*Public_Comps!F24</f>
        <v>8.1365000000000007E-2</v>
      </c>
    </row>
    <row r="73" spans="2:15" x14ac:dyDescent="0.2">
      <c r="C73" s="157" t="s">
        <v>847</v>
      </c>
      <c r="D73" s="158"/>
      <c r="E73" s="158"/>
      <c r="F73" s="162">
        <f>$D$52+$D$53*M69</f>
        <v>8.5844298629684831E-2</v>
      </c>
    </row>
    <row r="74" spans="2:15" x14ac:dyDescent="0.2">
      <c r="C74" s="159" t="s">
        <v>848</v>
      </c>
      <c r="D74" s="160"/>
      <c r="E74" s="160"/>
      <c r="F74" s="163">
        <f>$D$52+$D$53*M70</f>
        <v>9.4741952136318419E-2</v>
      </c>
    </row>
    <row r="76" spans="2:15" x14ac:dyDescent="0.2">
      <c r="C76" s="164" t="s">
        <v>849</v>
      </c>
      <c r="D76" s="25"/>
      <c r="E76" s="25"/>
      <c r="F76" s="165">
        <f>$D$54*(1-$L$69)*G69+F72*K69+D55*I69</f>
        <v>7.6182703782174399E-2</v>
      </c>
    </row>
    <row r="77" spans="2:15" x14ac:dyDescent="0.2">
      <c r="C77" s="166" t="s">
        <v>850</v>
      </c>
      <c r="F77" s="167">
        <f>$D$54*(1-$L$69)*G69+F73*K69+D55*H69</f>
        <v>8.0270170703218416E-2</v>
      </c>
    </row>
    <row r="78" spans="2:15" x14ac:dyDescent="0.2">
      <c r="C78" s="168" t="s">
        <v>851</v>
      </c>
      <c r="D78" s="21"/>
      <c r="E78" s="21"/>
      <c r="F78" s="169">
        <f>$D$54*(1-$L$70)*G70+F74*K70+D55*H70</f>
        <v>7.223879579792726E-2</v>
      </c>
    </row>
    <row r="80" spans="2:15" x14ac:dyDescent="0.2">
      <c r="B80" s="2" t="s">
        <v>899</v>
      </c>
      <c r="C80" s="1"/>
      <c r="D80" s="1"/>
      <c r="E80" s="1"/>
      <c r="F80" s="1"/>
      <c r="G80" s="1"/>
      <c r="H80" s="1"/>
      <c r="I80" s="1"/>
      <c r="J80" s="1"/>
      <c r="K80" s="1"/>
      <c r="L80" s="1"/>
      <c r="M80" s="1"/>
      <c r="N80" s="1"/>
      <c r="O80" s="1"/>
    </row>
    <row r="82" spans="3:15" x14ac:dyDescent="0.2">
      <c r="C82" s="199"/>
      <c r="D82" s="200" t="s">
        <v>873</v>
      </c>
      <c r="E82" s="201"/>
      <c r="F82" s="201"/>
      <c r="G82" s="201"/>
      <c r="H82" s="201"/>
      <c r="I82" s="201"/>
      <c r="J82" s="201"/>
      <c r="K82" s="201"/>
      <c r="L82" s="201"/>
      <c r="M82" s="201"/>
      <c r="N82" s="201"/>
      <c r="O82" s="201"/>
    </row>
    <row r="83" spans="3:15" x14ac:dyDescent="0.2">
      <c r="C83" s="199"/>
      <c r="D83" s="293">
        <f>J28</f>
        <v>28.294218290791449</v>
      </c>
      <c r="E83" s="298">
        <v>7.0000000000000007E-2</v>
      </c>
      <c r="F83" s="299">
        <f>E83+0.0025</f>
        <v>7.2500000000000009E-2</v>
      </c>
      <c r="G83" s="299">
        <f t="shared" ref="G83:O83" si="7">F83+0.0025</f>
        <v>7.5000000000000011E-2</v>
      </c>
      <c r="H83" s="299">
        <f t="shared" si="7"/>
        <v>7.7500000000000013E-2</v>
      </c>
      <c r="I83" s="299">
        <f t="shared" si="7"/>
        <v>8.0000000000000016E-2</v>
      </c>
      <c r="J83" s="300">
        <f t="shared" si="7"/>
        <v>8.2500000000000018E-2</v>
      </c>
      <c r="K83" s="299">
        <f t="shared" si="7"/>
        <v>8.500000000000002E-2</v>
      </c>
      <c r="L83" s="299">
        <f t="shared" si="7"/>
        <v>8.7500000000000022E-2</v>
      </c>
      <c r="M83" s="299">
        <f t="shared" si="7"/>
        <v>9.0000000000000024E-2</v>
      </c>
      <c r="N83" s="299">
        <f t="shared" si="7"/>
        <v>9.2500000000000027E-2</v>
      </c>
      <c r="O83" s="301">
        <f t="shared" si="7"/>
        <v>9.5000000000000029E-2</v>
      </c>
    </row>
    <row r="84" spans="3:15" x14ac:dyDescent="0.2">
      <c r="C84" s="199"/>
      <c r="D84" s="294">
        <v>12</v>
      </c>
      <c r="E84" s="197">
        <f t="dataTable" ref="E84:O94" dt2D="1" dtr="1" r1="E11" r2="J6"/>
        <v>32.212553645007134</v>
      </c>
      <c r="F84" s="198">
        <v>31.825387343002827</v>
      </c>
      <c r="G84" s="198">
        <v>31.443469589728377</v>
      </c>
      <c r="H84" s="198">
        <v>31.066716581081948</v>
      </c>
      <c r="I84" s="198">
        <v>30.695046046134767</v>
      </c>
      <c r="J84" s="493">
        <v>30.328377215570754</v>
      </c>
      <c r="K84" s="198">
        <v>29.966630790847542</v>
      </c>
      <c r="L84" s="198">
        <v>29.609728914060611</v>
      </c>
      <c r="M84" s="198">
        <v>29.257595138492725</v>
      </c>
      <c r="N84" s="198">
        <v>28.910154399832145</v>
      </c>
      <c r="O84" s="198">
        <v>28.567332988042033</v>
      </c>
    </row>
    <row r="85" spans="3:15" x14ac:dyDescent="0.2">
      <c r="C85" s="202"/>
      <c r="D85" s="295">
        <f>D84-0.25</f>
        <v>11.75</v>
      </c>
      <c r="E85" s="196">
        <v>31.5934374064928</v>
      </c>
      <c r="F85" s="59">
        <v>31.213453349662281</v>
      </c>
      <c r="G85" s="59">
        <v>30.838618089412343</v>
      </c>
      <c r="H85" s="59">
        <v>30.46884943423937</v>
      </c>
      <c r="I85" s="59">
        <v>30.10406669608798</v>
      </c>
      <c r="J85" s="494">
        <v>29.744190659405643</v>
      </c>
      <c r="K85" s="59">
        <v>29.389143550904564</v>
      </c>
      <c r="L85" s="59">
        <v>29.038849010012957</v>
      </c>
      <c r="M85" s="59">
        <v>28.69323205999822</v>
      </c>
      <c r="N85" s="59">
        <v>28.352219079745772</v>
      </c>
      <c r="O85" s="59">
        <v>28.015737776176415</v>
      </c>
    </row>
    <row r="86" spans="3:15" x14ac:dyDescent="0.2">
      <c r="C86" s="202"/>
      <c r="D86" s="295">
        <f t="shared" ref="D86:D94" si="8">D85-0.25</f>
        <v>11.5</v>
      </c>
      <c r="E86" s="196">
        <v>30.974321167978456</v>
      </c>
      <c r="F86" s="59">
        <v>30.601519356321734</v>
      </c>
      <c r="G86" s="59">
        <v>30.233766589096305</v>
      </c>
      <c r="H86" s="59">
        <v>29.870982287396792</v>
      </c>
      <c r="I86" s="59">
        <v>29.513087346041196</v>
      </c>
      <c r="J86" s="494">
        <v>29.160004103240531</v>
      </c>
      <c r="K86" s="59">
        <v>28.811656310961588</v>
      </c>
      <c r="L86" s="59">
        <v>28.467969105965302</v>
      </c>
      <c r="M86" s="59">
        <v>28.128868981503707</v>
      </c>
      <c r="N86" s="59">
        <v>27.794283759659397</v>
      </c>
      <c r="O86" s="59">
        <v>27.464142564310801</v>
      </c>
    </row>
    <row r="87" spans="3:15" x14ac:dyDescent="0.2">
      <c r="C87" s="202"/>
      <c r="D87" s="295">
        <f t="shared" si="8"/>
        <v>11.25</v>
      </c>
      <c r="E87" s="196">
        <v>30.355204929464115</v>
      </c>
      <c r="F87" s="59">
        <v>29.989585362981188</v>
      </c>
      <c r="G87" s="59">
        <v>29.628915088780271</v>
      </c>
      <c r="H87" s="59">
        <v>29.273115140554207</v>
      </c>
      <c r="I87" s="59">
        <v>28.922107995994409</v>
      </c>
      <c r="J87" s="494">
        <v>28.57581754707542</v>
      </c>
      <c r="K87" s="59">
        <v>28.234169071018609</v>
      </c>
      <c r="L87" s="59">
        <v>27.897089201917652</v>
      </c>
      <c r="M87" s="59">
        <v>27.564505903009202</v>
      </c>
      <c r="N87" s="59">
        <v>27.236348439573025</v>
      </c>
      <c r="O87" s="59">
        <v>26.912547352445184</v>
      </c>
    </row>
    <row r="88" spans="3:15" ht="17" x14ac:dyDescent="0.2">
      <c r="C88" s="203" t="s">
        <v>900</v>
      </c>
      <c r="D88" s="296">
        <f t="shared" si="8"/>
        <v>11</v>
      </c>
      <c r="E88" s="495">
        <v>29.736088690949781</v>
      </c>
      <c r="F88" s="494">
        <v>29.377651369640642</v>
      </c>
      <c r="G88" s="494">
        <v>29.024063588464234</v>
      </c>
      <c r="H88" s="494">
        <v>28.675247993711629</v>
      </c>
      <c r="I88" s="494">
        <v>28.331128645947622</v>
      </c>
      <c r="J88" s="494">
        <v>27.991630990910309</v>
      </c>
      <c r="K88" s="494">
        <v>27.65668183107563</v>
      </c>
      <c r="L88" s="494">
        <v>27.326209297869998</v>
      </c>
      <c r="M88" s="494">
        <v>27.000142824514693</v>
      </c>
      <c r="N88" s="494">
        <v>26.678413119486649</v>
      </c>
      <c r="O88" s="494">
        <v>26.360952140579563</v>
      </c>
    </row>
    <row r="89" spans="3:15" x14ac:dyDescent="0.2">
      <c r="C89" s="202"/>
      <c r="D89" s="295">
        <f t="shared" si="8"/>
        <v>10.75</v>
      </c>
      <c r="E89" s="196">
        <v>29.116972452435441</v>
      </c>
      <c r="F89" s="59">
        <v>28.765717376300096</v>
      </c>
      <c r="G89" s="59">
        <v>28.4192120881482</v>
      </c>
      <c r="H89" s="59">
        <v>28.077380846869051</v>
      </c>
      <c r="I89" s="59">
        <v>27.740149295900839</v>
      </c>
      <c r="J89" s="494">
        <v>27.407444434745202</v>
      </c>
      <c r="K89" s="59">
        <v>27.079194591132655</v>
      </c>
      <c r="L89" s="59">
        <v>26.755329393822343</v>
      </c>
      <c r="M89" s="59">
        <v>26.435779746020188</v>
      </c>
      <c r="N89" s="59">
        <v>26.120477799400277</v>
      </c>
      <c r="O89" s="59">
        <v>25.809356928713946</v>
      </c>
    </row>
    <row r="90" spans="3:15" x14ac:dyDescent="0.2">
      <c r="C90" s="202"/>
      <c r="D90" s="295">
        <f t="shared" si="8"/>
        <v>10.5</v>
      </c>
      <c r="E90" s="196">
        <v>28.497856213921107</v>
      </c>
      <c r="F90" s="59">
        <v>28.153783382959553</v>
      </c>
      <c r="G90" s="59">
        <v>27.814360587832162</v>
      </c>
      <c r="H90" s="59">
        <v>27.479513700026466</v>
      </c>
      <c r="I90" s="59">
        <v>27.149169945854048</v>
      </c>
      <c r="J90" s="494">
        <v>26.82325787858009</v>
      </c>
      <c r="K90" s="59">
        <v>26.501707351189676</v>
      </c>
      <c r="L90" s="59">
        <v>26.184449489774696</v>
      </c>
      <c r="M90" s="59">
        <v>25.871416667525679</v>
      </c>
      <c r="N90" s="59">
        <v>25.562542479313905</v>
      </c>
      <c r="O90" s="59">
        <v>25.257761716848329</v>
      </c>
    </row>
    <row r="91" spans="3:15" x14ac:dyDescent="0.2">
      <c r="C91" s="202"/>
      <c r="D91" s="295">
        <f t="shared" si="8"/>
        <v>10.25</v>
      </c>
      <c r="E91" s="196">
        <v>27.878739975406766</v>
      </c>
      <c r="F91" s="59">
        <v>27.541849389619003</v>
      </c>
      <c r="G91" s="59">
        <v>27.209509087516125</v>
      </c>
      <c r="H91" s="59">
        <v>26.881646553183888</v>
      </c>
      <c r="I91" s="59">
        <v>26.558190595807265</v>
      </c>
      <c r="J91" s="494">
        <v>26.239071322414979</v>
      </c>
      <c r="K91" s="59">
        <v>25.924220111246697</v>
      </c>
      <c r="L91" s="59">
        <v>25.613569585727042</v>
      </c>
      <c r="M91" s="59">
        <v>25.30705358903117</v>
      </c>
      <c r="N91" s="59">
        <v>25.004607159227529</v>
      </c>
      <c r="O91" s="59">
        <v>24.706166504982711</v>
      </c>
    </row>
    <row r="92" spans="3:15" x14ac:dyDescent="0.2">
      <c r="C92" s="202"/>
      <c r="D92" s="295">
        <f t="shared" si="8"/>
        <v>10</v>
      </c>
      <c r="E92" s="196">
        <v>27.259623736892426</v>
      </c>
      <c r="F92" s="59">
        <v>26.92991539627846</v>
      </c>
      <c r="G92" s="59">
        <v>26.604657587200087</v>
      </c>
      <c r="H92" s="59">
        <v>26.28377940634131</v>
      </c>
      <c r="I92" s="59">
        <v>25.967211245760478</v>
      </c>
      <c r="J92" s="494">
        <v>25.654884766249868</v>
      </c>
      <c r="K92" s="59">
        <v>25.346732871303718</v>
      </c>
      <c r="L92" s="59">
        <v>25.042689681679388</v>
      </c>
      <c r="M92" s="59">
        <v>24.742690510536665</v>
      </c>
      <c r="N92" s="59">
        <v>24.446671839141153</v>
      </c>
      <c r="O92" s="59">
        <v>24.154571293117097</v>
      </c>
    </row>
    <row r="93" spans="3:15" x14ac:dyDescent="0.2">
      <c r="C93" s="202"/>
      <c r="D93" s="295">
        <f t="shared" si="8"/>
        <v>9.75</v>
      </c>
      <c r="E93" s="196">
        <v>26.640507498378092</v>
      </c>
      <c r="F93" s="59">
        <v>26.317981402937914</v>
      </c>
      <c r="G93" s="59">
        <v>25.999806086884053</v>
      </c>
      <c r="H93" s="59">
        <v>25.685912259498732</v>
      </c>
      <c r="I93" s="59">
        <v>25.376231895713691</v>
      </c>
      <c r="J93" s="494">
        <v>25.070698210084757</v>
      </c>
      <c r="K93" s="59">
        <v>24.769245631360743</v>
      </c>
      <c r="L93" s="59">
        <v>24.471809777631737</v>
      </c>
      <c r="M93" s="59">
        <v>24.178327432042156</v>
      </c>
      <c r="N93" s="59">
        <v>23.888736519054781</v>
      </c>
      <c r="O93" s="59">
        <v>23.60297608125148</v>
      </c>
    </row>
    <row r="94" spans="3:15" x14ac:dyDescent="0.2">
      <c r="C94" s="202"/>
      <c r="D94" s="297">
        <f t="shared" si="8"/>
        <v>9.5</v>
      </c>
      <c r="E94" s="196">
        <v>26.021391259863751</v>
      </c>
      <c r="F94" s="59">
        <v>25.706047409597364</v>
      </c>
      <c r="G94" s="59">
        <v>25.394954586568016</v>
      </c>
      <c r="H94" s="59">
        <v>25.088045112656143</v>
      </c>
      <c r="I94" s="59">
        <v>24.785252545666907</v>
      </c>
      <c r="J94" s="494">
        <v>24.486511653919646</v>
      </c>
      <c r="K94" s="59">
        <v>24.191758391417764</v>
      </c>
      <c r="L94" s="59">
        <v>23.900929873584083</v>
      </c>
      <c r="M94" s="59">
        <v>23.613964353547651</v>
      </c>
      <c r="N94" s="59">
        <v>23.330801198968409</v>
      </c>
      <c r="O94" s="59">
        <v>23.051380869385863</v>
      </c>
    </row>
    <row r="97" spans="3:15" x14ac:dyDescent="0.2">
      <c r="C97" s="199"/>
      <c r="D97" s="200" t="s">
        <v>873</v>
      </c>
      <c r="E97" s="201"/>
      <c r="F97" s="201"/>
      <c r="G97" s="201"/>
      <c r="H97" s="201"/>
      <c r="I97" s="201"/>
      <c r="J97" s="201"/>
      <c r="K97" s="201"/>
      <c r="L97" s="201"/>
      <c r="M97" s="201"/>
      <c r="N97" s="201"/>
      <c r="O97" s="201"/>
    </row>
    <row r="98" spans="3:15" x14ac:dyDescent="0.2">
      <c r="C98" s="199"/>
      <c r="D98" s="302">
        <f>O28</f>
        <v>26.50583197829123</v>
      </c>
      <c r="E98" s="298">
        <v>7.0000000000000007E-2</v>
      </c>
      <c r="F98" s="299">
        <f>E98+0.0025</f>
        <v>7.2500000000000009E-2</v>
      </c>
      <c r="G98" s="299">
        <f t="shared" ref="G98:O98" si="9">F98+0.0025</f>
        <v>7.5000000000000011E-2</v>
      </c>
      <c r="H98" s="299">
        <f t="shared" si="9"/>
        <v>7.7500000000000013E-2</v>
      </c>
      <c r="I98" s="299">
        <f t="shared" si="9"/>
        <v>8.0000000000000016E-2</v>
      </c>
      <c r="J98" s="300">
        <f t="shared" si="9"/>
        <v>8.2500000000000018E-2</v>
      </c>
      <c r="K98" s="299">
        <f t="shared" si="9"/>
        <v>8.500000000000002E-2</v>
      </c>
      <c r="L98" s="299">
        <f t="shared" si="9"/>
        <v>8.7500000000000022E-2</v>
      </c>
      <c r="M98" s="299">
        <f t="shared" si="9"/>
        <v>9.0000000000000024E-2</v>
      </c>
      <c r="N98" s="299">
        <f t="shared" si="9"/>
        <v>9.2500000000000027E-2</v>
      </c>
      <c r="O98" s="301">
        <f t="shared" si="9"/>
        <v>9.5000000000000029E-2</v>
      </c>
    </row>
    <row r="99" spans="3:15" x14ac:dyDescent="0.2">
      <c r="C99" s="199"/>
      <c r="D99" s="303">
        <v>3.5000000000000003E-2</v>
      </c>
      <c r="E99" s="197">
        <f t="dataTable" ref="E99:O109" dt2D="1" dtr="1" r1="E11" r2="O8" ca="1"/>
        <v>39.103679742441557</v>
      </c>
      <c r="F99" s="198">
        <v>36.22430316893422</v>
      </c>
      <c r="G99" s="198">
        <v>33.70516789857146</v>
      </c>
      <c r="H99" s="198">
        <v>31.482698265671129</v>
      </c>
      <c r="I99" s="198">
        <v>29.507446581611905</v>
      </c>
      <c r="J99" s="493">
        <v>27.740375245292157</v>
      </c>
      <c r="K99" s="198">
        <v>26.150254220467019</v>
      </c>
      <c r="L99" s="198">
        <v>24.711802091003733</v>
      </c>
      <c r="M99" s="198">
        <v>23.404334101080995</v>
      </c>
      <c r="N99" s="198">
        <v>22.210762880566623</v>
      </c>
      <c r="O99" s="198">
        <v>21.116848989062539</v>
      </c>
    </row>
    <row r="100" spans="3:15" x14ac:dyDescent="0.2">
      <c r="C100" s="199"/>
      <c r="D100" s="304">
        <f>D99-0.0015</f>
        <v>3.3500000000000002E-2</v>
      </c>
      <c r="E100" s="196">
        <v>37.548336683702182</v>
      </c>
      <c r="F100" s="59">
        <v>34.878327724843444</v>
      </c>
      <c r="G100" s="59">
        <v>32.530323718431291</v>
      </c>
      <c r="H100" s="59">
        <v>30.449433802566944</v>
      </c>
      <c r="I100" s="59">
        <v>28.592571652992905</v>
      </c>
      <c r="J100" s="494">
        <v>26.925444120609743</v>
      </c>
      <c r="K100" s="59">
        <v>25.420416964877674</v>
      </c>
      <c r="L100" s="59">
        <v>24.054973439065652</v>
      </c>
      <c r="M100" s="59">
        <v>22.810582100669201</v>
      </c>
      <c r="N100" s="59">
        <v>21.671852466650339</v>
      </c>
      <c r="O100" s="59">
        <v>20.625896606435603</v>
      </c>
    </row>
    <row r="101" spans="3:15" x14ac:dyDescent="0.2">
      <c r="C101" s="199"/>
      <c r="D101" s="304">
        <f t="shared" ref="D101:D109" si="10">D100-0.001</f>
        <v>3.2500000000000001E-2</v>
      </c>
      <c r="E101" s="196">
        <v>36.580567669375455</v>
      </c>
      <c r="F101" s="59">
        <v>34.037093072286709</v>
      </c>
      <c r="G101" s="59">
        <v>31.793166585794321</v>
      </c>
      <c r="H101" s="59">
        <v>29.798859881353199</v>
      </c>
      <c r="I101" s="59">
        <v>28.014755908601959</v>
      </c>
      <c r="J101" s="494">
        <v>26.409321074977544</v>
      </c>
      <c r="K101" s="59">
        <v>24.957028231170153</v>
      </c>
      <c r="L101" s="59">
        <v>23.636991569650505</v>
      </c>
      <c r="M101" s="59">
        <v>22.43195763663849</v>
      </c>
      <c r="N101" s="59">
        <v>21.327548591092715</v>
      </c>
      <c r="O101" s="59">
        <v>20.311687081554361</v>
      </c>
    </row>
    <row r="102" spans="3:15" x14ac:dyDescent="0.2">
      <c r="C102" s="199"/>
      <c r="D102" s="304">
        <f t="shared" si="10"/>
        <v>3.15E-2</v>
      </c>
      <c r="E102" s="196">
        <v>35.663072370078702</v>
      </c>
      <c r="F102" s="59">
        <v>33.23689425644006</v>
      </c>
      <c r="G102" s="59">
        <v>31.089901735117675</v>
      </c>
      <c r="H102" s="59">
        <v>29.17657178280092</v>
      </c>
      <c r="I102" s="59">
        <v>27.460767617587958</v>
      </c>
      <c r="J102" s="494">
        <v>25.913438148781907</v>
      </c>
      <c r="K102" s="59">
        <v>24.510962440778801</v>
      </c>
      <c r="L102" s="59">
        <v>23.233937624143046</v>
      </c>
      <c r="M102" s="59">
        <v>22.06627759872849</v>
      </c>
      <c r="N102" s="59">
        <v>20.994533367192719</v>
      </c>
      <c r="O102" s="59">
        <v>20.007373919661504</v>
      </c>
    </row>
    <row r="103" spans="3:15" x14ac:dyDescent="0.2">
      <c r="C103" s="83" t="s">
        <v>901</v>
      </c>
      <c r="D103" s="304">
        <f t="shared" si="10"/>
        <v>3.0499999999999999E-2</v>
      </c>
      <c r="E103" s="196">
        <v>34.792032528974168</v>
      </c>
      <c r="F103" s="59">
        <v>32.474800146109914</v>
      </c>
      <c r="G103" s="59">
        <v>30.418244293460198</v>
      </c>
      <c r="H103" s="59">
        <v>28.580764028867879</v>
      </c>
      <c r="I103" s="59">
        <v>26.92916269186744</v>
      </c>
      <c r="J103" s="494">
        <v>25.436627642824554</v>
      </c>
      <c r="K103" s="59">
        <v>24.081266037190797</v>
      </c>
      <c r="L103" s="59">
        <v>22.845025922337594</v>
      </c>
      <c r="M103" s="59">
        <v>21.712889326798653</v>
      </c>
      <c r="N103" s="59">
        <v>20.672260569870136</v>
      </c>
      <c r="O103" s="59">
        <v>19.712496824804084</v>
      </c>
    </row>
    <row r="104" spans="3:15" x14ac:dyDescent="0.2">
      <c r="C104" s="199"/>
      <c r="D104" s="305">
        <f t="shared" si="10"/>
        <v>2.9499999999999998E-2</v>
      </c>
      <c r="E104" s="495">
        <v>33.964007001010614</v>
      </c>
      <c r="F104" s="494">
        <v>31.74815227346955</v>
      </c>
      <c r="G104" s="494">
        <v>29.776110255831625</v>
      </c>
      <c r="H104" s="494">
        <v>28.009781598015397</v>
      </c>
      <c r="I104" s="494">
        <v>26.418611426571513</v>
      </c>
      <c r="J104" s="494">
        <v>24.977809986148621</v>
      </c>
      <c r="K104" s="494">
        <v>23.667054188687054</v>
      </c>
      <c r="L104" s="494">
        <v>22.469524968870267</v>
      </c>
      <c r="M104" s="494">
        <v>21.371183311792123</v>
      </c>
      <c r="N104" s="494">
        <v>20.360218655002249</v>
      </c>
      <c r="O104" s="494">
        <v>19.426623610705668</v>
      </c>
    </row>
    <row r="105" spans="3:15" x14ac:dyDescent="0.2">
      <c r="C105" s="199"/>
      <c r="D105" s="306">
        <f t="shared" si="10"/>
        <v>2.8499999999999998E-2</v>
      </c>
      <c r="E105" s="204">
        <v>33.175886317768189</v>
      </c>
      <c r="F105" s="205">
        <v>31.05453384958556</v>
      </c>
      <c r="G105" s="205">
        <v>29.16159488648815</v>
      </c>
      <c r="H105" s="205">
        <v>27.462104572503819</v>
      </c>
      <c r="I105" s="205">
        <v>25.927887394879303</v>
      </c>
      <c r="J105" s="496">
        <v>24.53598557601623</v>
      </c>
      <c r="K105" s="205">
        <v>23.26750470650202</v>
      </c>
      <c r="L105" s="205">
        <v>22.106752861283191</v>
      </c>
      <c r="M105" s="205">
        <v>21.040589687517503</v>
      </c>
      <c r="N105" s="205">
        <v>20.057928049973974</v>
      </c>
      <c r="O105" s="205">
        <v>19.149348087256829</v>
      </c>
    </row>
    <row r="106" spans="3:15" x14ac:dyDescent="0.2">
      <c r="C106" s="199"/>
      <c r="D106" s="304">
        <f t="shared" si="10"/>
        <v>2.7499999999999997E-2</v>
      </c>
      <c r="E106" s="196">
        <v>32.424853666678352</v>
      </c>
      <c r="F106" s="59">
        <v>30.391742911207526</v>
      </c>
      <c r="G106" s="59">
        <v>28.572953848485454</v>
      </c>
      <c r="H106" s="59">
        <v>26.936334628012712</v>
      </c>
      <c r="I106" s="59">
        <v>25.455857612013467</v>
      </c>
      <c r="J106" s="494">
        <v>24.11022750807048</v>
      </c>
      <c r="K106" s="59">
        <v>22.881852597610383</v>
      </c>
      <c r="L106" s="59">
        <v>21.756073157282348</v>
      </c>
      <c r="M106" s="59">
        <v>20.72057505921968</v>
      </c>
      <c r="N106" s="59">
        <v>19.764938694331182</v>
      </c>
      <c r="O106" s="59">
        <v>18.88028813487314</v>
      </c>
    </row>
    <row r="107" spans="3:15" x14ac:dyDescent="0.2">
      <c r="C107" s="199"/>
      <c r="D107" s="304">
        <f t="shared" si="10"/>
        <v>2.6499999999999996E-2</v>
      </c>
      <c r="E107" s="196">
        <v>31.708351252420222</v>
      </c>
      <c r="F107" s="59">
        <v>29.757768970150273</v>
      </c>
      <c r="G107" s="59">
        <v>28.008586667719982</v>
      </c>
      <c r="H107" s="59">
        <v>26.431183112717328</v>
      </c>
      <c r="I107" s="59">
        <v>25.001473802338872</v>
      </c>
      <c r="J107" s="494">
        <v>23.699675085408504</v>
      </c>
      <c r="K107" s="59">
        <v>22.509385176202219</v>
      </c>
      <c r="L107" s="59">
        <v>21.416891148494642</v>
      </c>
      <c r="M107" s="59">
        <v>20.410639631813126</v>
      </c>
      <c r="N107" s="59">
        <v>19.480827804010907</v>
      </c>
      <c r="O107" s="59">
        <v>18.619083947522554</v>
      </c>
    </row>
    <row r="108" spans="3:15" x14ac:dyDescent="0.2">
      <c r="C108" s="199"/>
      <c r="D108" s="304">
        <f t="shared" si="10"/>
        <v>2.5499999999999995E-2</v>
      </c>
      <c r="E108" s="196">
        <v>31.024051193859098</v>
      </c>
      <c r="F108" s="59">
        <v>29.150772643606103</v>
      </c>
      <c r="G108" s="59">
        <v>27.46702220132887</v>
      </c>
      <c r="H108" s="59">
        <v>25.945460501856385</v>
      </c>
      <c r="I108" s="59">
        <v>24.563764627881699</v>
      </c>
      <c r="J108" s="494">
        <v>23.303528010910107</v>
      </c>
      <c r="K108" s="59">
        <v>22.149437668118694</v>
      </c>
      <c r="L108" s="59">
        <v>21.088650494829128</v>
      </c>
      <c r="M108" s="59">
        <v>20.110314605256381</v>
      </c>
      <c r="N108" s="59">
        <v>19.205197835789743</v>
      </c>
      <c r="O108" s="59">
        <v>18.365396427433854</v>
      </c>
    </row>
    <row r="109" spans="3:15" x14ac:dyDescent="0.2">
      <c r="C109" s="199"/>
      <c r="D109" s="307">
        <f t="shared" si="10"/>
        <v>2.4499999999999994E-2</v>
      </c>
      <c r="E109" s="196">
        <v>30.369830258751204</v>
      </c>
      <c r="F109" s="59">
        <v>28.569067830667933</v>
      </c>
      <c r="G109" s="59">
        <v>26.946905832616615</v>
      </c>
      <c r="H109" s="59">
        <v>25.47806704612227</v>
      </c>
      <c r="I109" s="59">
        <v>24.141828757008561</v>
      </c>
      <c r="J109" s="494">
        <v>22.921041180359929</v>
      </c>
      <c r="K109" s="59">
        <v>21.801389251211489</v>
      </c>
      <c r="L109" s="59">
        <v>20.770830179375213</v>
      </c>
      <c r="M109" s="59">
        <v>19.819159808518169</v>
      </c>
      <c r="N109" s="59">
        <v>18.937674631339789</v>
      </c>
      <c r="O109" s="59">
        <v>18.118905716425683</v>
      </c>
    </row>
    <row r="110" spans="3:15" x14ac:dyDescent="0.2">
      <c r="D110" s="57"/>
    </row>
    <row r="111" spans="3:15" x14ac:dyDescent="0.2">
      <c r="D111" s="57"/>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B0B8A7-90DE-8C4E-AA28-4BB7D94DC2F0}">
  <dimension ref="B2:N237"/>
  <sheetViews>
    <sheetView showGridLines="0" zoomScaleNormal="100" workbookViewId="0"/>
  </sheetViews>
  <sheetFormatPr baseColWidth="10" defaultRowHeight="16" x14ac:dyDescent="0.2"/>
  <cols>
    <col min="1" max="2" width="2.6640625" customWidth="1"/>
    <col min="3" max="3" width="54.1640625" customWidth="1"/>
    <col min="5" max="5" width="14" bestFit="1" customWidth="1"/>
    <col min="6" max="6" width="12.5" bestFit="1" customWidth="1"/>
    <col min="7" max="7" width="12.5" customWidth="1"/>
    <col min="9" max="9" width="11.1640625" bestFit="1" customWidth="1"/>
    <col min="14" max="14" width="20.6640625" customWidth="1"/>
  </cols>
  <sheetData>
    <row r="2" spans="2:12" x14ac:dyDescent="0.2">
      <c r="C2" s="5" t="s">
        <v>1</v>
      </c>
      <c r="E2" s="502" t="str">
        <f>Valuation_Summary!E2</f>
        <v>Compass Group</v>
      </c>
    </row>
    <row r="3" spans="2:12" x14ac:dyDescent="0.2">
      <c r="C3" s="5" t="s">
        <v>2</v>
      </c>
      <c r="E3" s="501">
        <f>Valuation_Summary!E5</f>
        <v>45930</v>
      </c>
    </row>
    <row r="5" spans="2:12" x14ac:dyDescent="0.2">
      <c r="B5" s="1"/>
      <c r="C5" s="1"/>
      <c r="D5" s="3"/>
      <c r="E5" s="10"/>
      <c r="F5" s="10" t="s">
        <v>4</v>
      </c>
      <c r="G5" s="12"/>
      <c r="H5" s="13"/>
      <c r="I5" s="14"/>
      <c r="J5" s="14" t="s">
        <v>5</v>
      </c>
      <c r="K5" s="14"/>
      <c r="L5" s="14"/>
    </row>
    <row r="6" spans="2:12" x14ac:dyDescent="0.2">
      <c r="B6" s="2" t="s">
        <v>0</v>
      </c>
      <c r="C6" s="1"/>
      <c r="D6" s="9" t="s">
        <v>3</v>
      </c>
      <c r="E6" s="45">
        <f>EOMONTH(F6,-12)</f>
        <v>45199</v>
      </c>
      <c r="F6" s="45">
        <f>EOMONTH(G6,-12)</f>
        <v>45565</v>
      </c>
      <c r="G6" s="46">
        <f>$E$3</f>
        <v>45930</v>
      </c>
      <c r="H6" s="45">
        <f>EOMONTH(G6,12)</f>
        <v>46295</v>
      </c>
      <c r="I6" s="45">
        <f t="shared" ref="I6:L6" si="0">EOMONTH(H6,12)</f>
        <v>46660</v>
      </c>
      <c r="J6" s="45">
        <f t="shared" si="0"/>
        <v>47026</v>
      </c>
      <c r="K6" s="45">
        <f t="shared" si="0"/>
        <v>47391</v>
      </c>
      <c r="L6" s="45">
        <f t="shared" si="0"/>
        <v>47756</v>
      </c>
    </row>
    <row r="7" spans="2:12" x14ac:dyDescent="0.2">
      <c r="B7" s="336" t="s">
        <v>687</v>
      </c>
      <c r="C7" s="336"/>
      <c r="D7" s="336"/>
      <c r="E7" s="337"/>
      <c r="F7" s="337"/>
      <c r="G7" s="337"/>
      <c r="H7" s="337"/>
      <c r="I7" s="337"/>
      <c r="J7" s="337"/>
      <c r="K7" s="337"/>
      <c r="L7" s="337"/>
    </row>
    <row r="8" spans="2:12" x14ac:dyDescent="0.2">
      <c r="C8" s="15" t="s">
        <v>9</v>
      </c>
      <c r="D8" s="48" t="s">
        <v>45</v>
      </c>
      <c r="E8" s="34">
        <v>37907</v>
      </c>
      <c r="F8" s="34">
        <v>42002</v>
      </c>
      <c r="G8" s="34">
        <v>46070</v>
      </c>
      <c r="H8" s="35">
        <f>G8*(1+H9)</f>
        <v>49755.600000000006</v>
      </c>
      <c r="I8" s="35">
        <f t="shared" ref="I8:L8" si="1">H8*(1+I9)</f>
        <v>53561.90340000001</v>
      </c>
      <c r="J8" s="35">
        <f t="shared" si="1"/>
        <v>57471.922348200009</v>
      </c>
      <c r="K8" s="35">
        <f t="shared" si="1"/>
        <v>61466.220951399919</v>
      </c>
      <c r="L8" s="35">
        <f t="shared" si="1"/>
        <v>65522.991534192319</v>
      </c>
    </row>
    <row r="9" spans="2:12" x14ac:dyDescent="0.2">
      <c r="C9" s="28" t="s">
        <v>691</v>
      </c>
      <c r="D9" s="49" t="s">
        <v>692</v>
      </c>
      <c r="E9" s="16"/>
      <c r="F9" s="56">
        <f>(F8-E8)/E8</f>
        <v>0.10802754108739811</v>
      </c>
      <c r="G9" s="56">
        <f>(G8-F8)/F8</f>
        <v>9.6852530831865152E-2</v>
      </c>
      <c r="H9" s="58">
        <f>SUM(H10:H12)</f>
        <v>0.08</v>
      </c>
      <c r="I9" s="58">
        <f t="shared" ref="I9:L9" si="2">SUM(I10:I12)</f>
        <v>7.6499999999999999E-2</v>
      </c>
      <c r="J9" s="58">
        <f t="shared" si="2"/>
        <v>7.2999999999999995E-2</v>
      </c>
      <c r="K9" s="58">
        <f t="shared" si="2"/>
        <v>6.9500000000000006E-2</v>
      </c>
      <c r="L9" s="58">
        <f t="shared" si="2"/>
        <v>6.6000000000000003E-2</v>
      </c>
    </row>
    <row r="10" spans="2:12" ht="14" customHeight="1" x14ac:dyDescent="0.2">
      <c r="C10" s="17" t="s">
        <v>688</v>
      </c>
      <c r="D10" s="49" t="s">
        <v>692</v>
      </c>
      <c r="H10" s="66">
        <v>4.4999999999999998E-2</v>
      </c>
      <c r="I10" s="66">
        <v>4.2500000000000003E-2</v>
      </c>
      <c r="J10" s="66">
        <v>0.04</v>
      </c>
      <c r="K10" s="66">
        <v>3.7499999999999999E-2</v>
      </c>
      <c r="L10" s="66">
        <v>3.5000000000000003E-2</v>
      </c>
    </row>
    <row r="11" spans="2:12" x14ac:dyDescent="0.2">
      <c r="C11" s="17" t="s">
        <v>689</v>
      </c>
      <c r="D11" s="49" t="s">
        <v>692</v>
      </c>
      <c r="H11" s="67">
        <v>1.4999999999999999E-2</v>
      </c>
      <c r="I11" s="67">
        <v>1.4E-2</v>
      </c>
      <c r="J11" s="67">
        <v>1.2999999999999999E-2</v>
      </c>
      <c r="K11" s="67">
        <v>1.2E-2</v>
      </c>
      <c r="L11" s="67">
        <v>1.0999999999999999E-2</v>
      </c>
    </row>
    <row r="12" spans="2:12" x14ac:dyDescent="0.2">
      <c r="C12" s="17" t="s">
        <v>690</v>
      </c>
      <c r="D12" s="49" t="s">
        <v>692</v>
      </c>
      <c r="H12" s="67">
        <v>0.02</v>
      </c>
      <c r="I12" s="67">
        <v>0.02</v>
      </c>
      <c r="J12" s="67">
        <v>0.02</v>
      </c>
      <c r="K12" s="67">
        <v>0.02</v>
      </c>
      <c r="L12" s="67">
        <v>0.02</v>
      </c>
    </row>
    <row r="14" spans="2:12" x14ac:dyDescent="0.2">
      <c r="C14" s="41" t="s">
        <v>693</v>
      </c>
      <c r="D14" s="49" t="s">
        <v>45</v>
      </c>
      <c r="E14" s="33">
        <v>12254</v>
      </c>
      <c r="F14" s="33">
        <v>13293</v>
      </c>
      <c r="G14" s="33">
        <v>14212</v>
      </c>
      <c r="H14" s="42">
        <f>H15*H8</f>
        <v>15225.213600000001</v>
      </c>
      <c r="I14" s="42">
        <f t="shared" ref="I14:L14" si="3">I15*I8</f>
        <v>16282.818633600004</v>
      </c>
      <c r="J14" s="42">
        <f t="shared" si="3"/>
        <v>17356.520549156401</v>
      </c>
      <c r="K14" s="42">
        <f t="shared" si="3"/>
        <v>18439.866285419976</v>
      </c>
      <c r="L14" s="42">
        <f t="shared" si="3"/>
        <v>19656.897460257696</v>
      </c>
    </row>
    <row r="15" spans="2:12" x14ac:dyDescent="0.2">
      <c r="C15" s="26" t="s">
        <v>696</v>
      </c>
      <c r="D15" s="49" t="s">
        <v>692</v>
      </c>
      <c r="E15" s="60">
        <f>E14/E8</f>
        <v>0.32326483235286357</v>
      </c>
      <c r="F15" s="60">
        <f t="shared" ref="F15:G15" si="4">F14/F8</f>
        <v>0.31648492928908145</v>
      </c>
      <c r="G15" s="60">
        <f t="shared" si="4"/>
        <v>0.30848708487084869</v>
      </c>
      <c r="H15" s="67">
        <v>0.30599999999999999</v>
      </c>
      <c r="I15" s="67">
        <v>0.30399999999999999</v>
      </c>
      <c r="J15" s="67">
        <v>0.30199999999999999</v>
      </c>
      <c r="K15" s="67">
        <v>0.3</v>
      </c>
      <c r="L15" s="67">
        <v>0.3</v>
      </c>
    </row>
    <row r="16" spans="2:12" x14ac:dyDescent="0.2">
      <c r="C16" s="41" t="s">
        <v>694</v>
      </c>
      <c r="D16" s="49" t="s">
        <v>45</v>
      </c>
      <c r="E16" s="33">
        <v>22175</v>
      </c>
      <c r="F16" s="33">
        <v>24711</v>
      </c>
      <c r="G16" s="33">
        <v>27373</v>
      </c>
      <c r="H16" s="68">
        <f>H17*H8</f>
        <v>29654.337600000003</v>
      </c>
      <c r="I16" s="68">
        <f t="shared" ref="I16:L16" si="5">I17*I8</f>
        <v>32030.018233200004</v>
      </c>
      <c r="J16" s="68">
        <f t="shared" si="5"/>
        <v>34483.153408920007</v>
      </c>
      <c r="K16" s="68">
        <f t="shared" si="5"/>
        <v>36879.732570839951</v>
      </c>
      <c r="L16" s="68">
        <f t="shared" si="5"/>
        <v>39313.794920515393</v>
      </c>
    </row>
    <row r="17" spans="2:12" x14ac:dyDescent="0.2">
      <c r="C17" s="26" t="s">
        <v>695</v>
      </c>
      <c r="D17" s="49" t="s">
        <v>692</v>
      </c>
      <c r="E17" s="62">
        <f>E16/E8</f>
        <v>0.58498430369061127</v>
      </c>
      <c r="F17" s="62">
        <f t="shared" ref="F17:G17" si="6">F16/F8</f>
        <v>0.58832912718441976</v>
      </c>
      <c r="G17" s="62">
        <f t="shared" si="6"/>
        <v>0.59416105925765139</v>
      </c>
      <c r="H17" s="67">
        <v>0.59599999999999997</v>
      </c>
      <c r="I17" s="67">
        <v>0.59799999999999998</v>
      </c>
      <c r="J17" s="67">
        <v>0.6</v>
      </c>
      <c r="K17" s="67">
        <v>0.6</v>
      </c>
      <c r="L17" s="67">
        <v>0.6</v>
      </c>
    </row>
    <row r="18" spans="2:12" x14ac:dyDescent="0.2">
      <c r="C18" s="41" t="s">
        <v>771</v>
      </c>
      <c r="D18" s="49" t="s">
        <v>45</v>
      </c>
      <c r="E18" s="33">
        <v>281</v>
      </c>
      <c r="F18" s="33">
        <v>408</v>
      </c>
      <c r="G18" s="33">
        <v>368</v>
      </c>
      <c r="H18" s="80">
        <f>AVERAGE(E18:G18)</f>
        <v>352.33333333333331</v>
      </c>
      <c r="I18" s="80">
        <f>H18</f>
        <v>352.33333333333331</v>
      </c>
      <c r="J18" s="80">
        <f t="shared" ref="J18:L18" si="7">I18</f>
        <v>352.33333333333331</v>
      </c>
      <c r="K18" s="80">
        <f t="shared" si="7"/>
        <v>352.33333333333331</v>
      </c>
      <c r="L18" s="80">
        <f t="shared" si="7"/>
        <v>352.33333333333331</v>
      </c>
    </row>
    <row r="19" spans="2:12" x14ac:dyDescent="0.2">
      <c r="C19" s="26"/>
      <c r="D19" s="49"/>
      <c r="E19" s="62"/>
      <c r="F19" s="62"/>
      <c r="G19" s="62"/>
    </row>
    <row r="20" spans="2:12" x14ac:dyDescent="0.2">
      <c r="C20" s="41" t="s">
        <v>740</v>
      </c>
      <c r="D20" s="49" t="s">
        <v>45</v>
      </c>
      <c r="E20" s="33">
        <v>525</v>
      </c>
      <c r="F20" s="33">
        <v>642</v>
      </c>
      <c r="G20" s="33">
        <v>704</v>
      </c>
      <c r="H20" s="68">
        <f>MAX(0,H21*H138)</f>
        <v>813.48765682548844</v>
      </c>
      <c r="I20" s="68">
        <f t="shared" ref="I20:L20" si="8">MAX(0,I21*I138)</f>
        <v>901.9308101218902</v>
      </c>
      <c r="J20" s="68">
        <f t="shared" si="8"/>
        <v>989.72115263066928</v>
      </c>
      <c r="K20" s="68">
        <f t="shared" si="8"/>
        <v>1110.4729930925935</v>
      </c>
      <c r="L20" s="68">
        <f t="shared" si="8"/>
        <v>1198.2938743283551</v>
      </c>
    </row>
    <row r="21" spans="2:12" x14ac:dyDescent="0.2">
      <c r="C21" s="26" t="s">
        <v>741</v>
      </c>
      <c r="D21" s="49" t="s">
        <v>692</v>
      </c>
      <c r="E21" s="62">
        <f>E20/E138</f>
        <v>0.24567150210575572</v>
      </c>
      <c r="F21" s="62">
        <f>F20/F138</f>
        <v>0.3122568093385214</v>
      </c>
      <c r="G21" s="62">
        <f>G20/G138</f>
        <v>0.27244582043343651</v>
      </c>
      <c r="H21" s="69">
        <f>AVERAGE(E21:G21)</f>
        <v>0.27679137729257119</v>
      </c>
      <c r="I21" s="69">
        <f>H21</f>
        <v>0.27679137729257119</v>
      </c>
      <c r="J21" s="69">
        <f t="shared" ref="J21:L21" si="9">I21</f>
        <v>0.27679137729257119</v>
      </c>
      <c r="K21" s="69">
        <f t="shared" si="9"/>
        <v>0.27679137729257119</v>
      </c>
      <c r="L21" s="69">
        <f t="shared" si="9"/>
        <v>0.27679137729257119</v>
      </c>
    </row>
    <row r="23" spans="2:12" x14ac:dyDescent="0.2">
      <c r="B23" s="336" t="s">
        <v>742</v>
      </c>
      <c r="C23" s="336"/>
      <c r="D23" s="337">
        <f t="shared" ref="D23:E23" si="10">EOMONTH(E23,-12)</f>
        <v>44834</v>
      </c>
      <c r="E23" s="337">
        <f t="shared" si="10"/>
        <v>45199</v>
      </c>
      <c r="F23" s="337">
        <f>EOMONTH(G23,-12)</f>
        <v>45565</v>
      </c>
      <c r="G23" s="337">
        <f>E3</f>
        <v>45930</v>
      </c>
      <c r="H23" s="337">
        <f>EOMONTH(G23,12)</f>
        <v>46295</v>
      </c>
      <c r="I23" s="337">
        <f t="shared" ref="I23:L23" si="11">EOMONTH(H23,12)</f>
        <v>46660</v>
      </c>
      <c r="J23" s="337">
        <f t="shared" si="11"/>
        <v>47026</v>
      </c>
      <c r="K23" s="337">
        <f t="shared" si="11"/>
        <v>47391</v>
      </c>
      <c r="L23" s="337">
        <f t="shared" si="11"/>
        <v>47756</v>
      </c>
    </row>
    <row r="24" spans="2:12" x14ac:dyDescent="0.2">
      <c r="C24" t="s">
        <v>743</v>
      </c>
      <c r="D24" s="76" t="s">
        <v>746</v>
      </c>
      <c r="E24" s="77">
        <f>(E157/E127)*(E23-D23)</f>
        <v>49.049252117023244</v>
      </c>
      <c r="F24" s="77">
        <f>(F157/F127)*(F23-E23)</f>
        <v>49.547069187181563</v>
      </c>
      <c r="G24" s="77">
        <f>(G157/G127)*(G23-F23)</f>
        <v>50.309311916648575</v>
      </c>
      <c r="H24" s="78">
        <f>AVERAGE(E24:G24)</f>
        <v>49.635211073617796</v>
      </c>
      <c r="I24" s="78">
        <f>H24</f>
        <v>49.635211073617796</v>
      </c>
      <c r="J24" s="78">
        <f t="shared" ref="J24:L24" si="12">I24</f>
        <v>49.635211073617796</v>
      </c>
      <c r="K24" s="78">
        <f t="shared" si="12"/>
        <v>49.635211073617796</v>
      </c>
      <c r="L24" s="78">
        <f t="shared" si="12"/>
        <v>49.635211073617796</v>
      </c>
    </row>
    <row r="25" spans="2:12" x14ac:dyDescent="0.2">
      <c r="C25" s="75" t="s">
        <v>744</v>
      </c>
      <c r="D25" s="76" t="s">
        <v>746</v>
      </c>
      <c r="E25" s="77">
        <f>-(E156/E128)*(E23-D23)</f>
        <v>20.612045046515423</v>
      </c>
      <c r="F25" s="77">
        <f>-(F156/F128)*(F23-E23)</f>
        <v>20.209433536447754</v>
      </c>
      <c r="G25" s="77">
        <f>-(G156/G128)*(G23-F23)</f>
        <v>21.059667886293273</v>
      </c>
      <c r="H25" s="78">
        <f t="shared" ref="H25:H26" si="13">AVERAGE(E25:G25)</f>
        <v>20.627048823085484</v>
      </c>
      <c r="I25" s="78">
        <f t="shared" ref="I25:L25" si="14">H25</f>
        <v>20.627048823085484</v>
      </c>
      <c r="J25" s="78">
        <f t="shared" si="14"/>
        <v>20.627048823085484</v>
      </c>
      <c r="K25" s="78">
        <f t="shared" si="14"/>
        <v>20.627048823085484</v>
      </c>
      <c r="L25" s="78">
        <f t="shared" si="14"/>
        <v>20.627048823085484</v>
      </c>
    </row>
    <row r="26" spans="2:12" x14ac:dyDescent="0.2">
      <c r="C26" s="75" t="s">
        <v>745</v>
      </c>
      <c r="D26" s="76" t="s">
        <v>746</v>
      </c>
      <c r="E26" s="77">
        <f>(E167/E128)*(E23-D23)</f>
        <v>213.44785376203689</v>
      </c>
      <c r="F26" s="77">
        <f>(F167/F128)*(F23-E23)</f>
        <v>225.00203114421123</v>
      </c>
      <c r="G26" s="77">
        <f>(G167/G128)*(G23-F23)</f>
        <v>221.87130593864339</v>
      </c>
      <c r="H26" s="78">
        <f t="shared" si="13"/>
        <v>220.10706361496386</v>
      </c>
      <c r="I26" s="78">
        <f t="shared" ref="I26:L26" si="15">H26</f>
        <v>220.10706361496386</v>
      </c>
      <c r="J26" s="78">
        <f t="shared" si="15"/>
        <v>220.10706361496386</v>
      </c>
      <c r="K26" s="78">
        <f t="shared" si="15"/>
        <v>220.10706361496386</v>
      </c>
      <c r="L26" s="78">
        <f t="shared" si="15"/>
        <v>220.10706361496386</v>
      </c>
    </row>
    <row r="28" spans="2:12" x14ac:dyDescent="0.2">
      <c r="C28" t="s">
        <v>747</v>
      </c>
      <c r="D28" s="49" t="s">
        <v>692</v>
      </c>
      <c r="E28" s="64">
        <f>E159/E127</f>
        <v>3.5877278602896561E-3</v>
      </c>
      <c r="F28" s="64">
        <f t="shared" ref="F28:G28" si="16">F159/F127</f>
        <v>1.0713775534498357E-2</v>
      </c>
      <c r="G28" s="64">
        <f t="shared" si="16"/>
        <v>1.0418927718688952E-3</v>
      </c>
      <c r="H28" s="69">
        <f>AVERAGE(E28:G28)</f>
        <v>5.1144653888856367E-3</v>
      </c>
      <c r="I28" s="69">
        <f>H28</f>
        <v>5.1144653888856367E-3</v>
      </c>
      <c r="J28" s="69">
        <f t="shared" ref="J28:L31" si="17">I28</f>
        <v>5.1144653888856367E-3</v>
      </c>
      <c r="K28" s="69">
        <f t="shared" si="17"/>
        <v>5.1144653888856367E-3</v>
      </c>
      <c r="L28" s="69">
        <f t="shared" si="17"/>
        <v>5.1144653888856367E-3</v>
      </c>
    </row>
    <row r="29" spans="2:12" x14ac:dyDescent="0.2">
      <c r="C29" s="44" t="s">
        <v>748</v>
      </c>
      <c r="D29" s="49" t="s">
        <v>692</v>
      </c>
      <c r="E29" s="64">
        <f>E168/SUM(E128:E131)</f>
        <v>1.6544220739162133E-2</v>
      </c>
      <c r="F29" s="64">
        <f t="shared" ref="F29:G29" si="18">F168/SUM(F128:F131)</f>
        <v>2.0399371547311338E-2</v>
      </c>
      <c r="G29" s="64">
        <f t="shared" si="18"/>
        <v>1.4950281621584035E-2</v>
      </c>
      <c r="H29" s="69">
        <f>AVERAGE(E29:G29)</f>
        <v>1.72979579693525E-2</v>
      </c>
      <c r="I29" s="69">
        <f>H29</f>
        <v>1.72979579693525E-2</v>
      </c>
      <c r="J29" s="69">
        <f t="shared" si="17"/>
        <v>1.72979579693525E-2</v>
      </c>
      <c r="K29" s="69">
        <f t="shared" si="17"/>
        <v>1.72979579693525E-2</v>
      </c>
      <c r="L29" s="69">
        <f t="shared" si="17"/>
        <v>1.72979579693525E-2</v>
      </c>
    </row>
    <row r="31" spans="2:12" x14ac:dyDescent="0.2">
      <c r="C31" t="s">
        <v>749</v>
      </c>
      <c r="D31" s="49" t="s">
        <v>692</v>
      </c>
      <c r="E31" s="64">
        <f>E174/SUM(E128:E131)</f>
        <v>6.0568672536593572E-2</v>
      </c>
      <c r="F31" s="64">
        <f t="shared" ref="F31:G31" si="19">F174/SUM(F128:F131)</f>
        <v>6.4745831432770767E-2</v>
      </c>
      <c r="G31" s="64">
        <f t="shared" si="19"/>
        <v>6.2095820874765319E-2</v>
      </c>
      <c r="H31" s="69">
        <f>AVERAGE(E31:G31)</f>
        <v>6.247010828137655E-2</v>
      </c>
      <c r="I31" s="69">
        <f>H31</f>
        <v>6.247010828137655E-2</v>
      </c>
      <c r="J31" s="69">
        <f t="shared" si="17"/>
        <v>6.247010828137655E-2</v>
      </c>
      <c r="K31" s="69">
        <f t="shared" si="17"/>
        <v>6.247010828137655E-2</v>
      </c>
      <c r="L31" s="69">
        <f t="shared" si="17"/>
        <v>6.247010828137655E-2</v>
      </c>
    </row>
    <row r="32" spans="2:12" x14ac:dyDescent="0.2">
      <c r="C32" s="44" t="s">
        <v>750</v>
      </c>
      <c r="D32" s="49" t="s">
        <v>692</v>
      </c>
      <c r="F32" s="64">
        <f>(F152-E152)/E152</f>
        <v>3.1945006065507479E-2</v>
      </c>
      <c r="G32" s="64">
        <f>(G152-F152)/F152</f>
        <v>2.8605015673981191E-2</v>
      </c>
      <c r="H32" s="66">
        <v>2.7E-2</v>
      </c>
      <c r="I32" s="66">
        <v>2.5999999999999999E-2</v>
      </c>
      <c r="J32" s="66">
        <v>2.5000000000000001E-2</v>
      </c>
      <c r="K32" s="66">
        <v>2.5000000000000001E-2</v>
      </c>
      <c r="L32" s="66">
        <v>2.5000000000000001E-2</v>
      </c>
    </row>
    <row r="34" spans="2:12" x14ac:dyDescent="0.2">
      <c r="B34" s="338" t="s">
        <v>751</v>
      </c>
      <c r="C34" s="338"/>
      <c r="D34" s="338"/>
      <c r="E34" s="339"/>
      <c r="F34" s="339"/>
      <c r="G34" s="339"/>
      <c r="H34" s="339"/>
      <c r="I34" s="339"/>
      <c r="J34" s="339"/>
      <c r="K34" s="339"/>
      <c r="L34" s="339"/>
    </row>
    <row r="35" spans="2:12" x14ac:dyDescent="0.2">
      <c r="C35" t="s">
        <v>752</v>
      </c>
      <c r="D35" s="49" t="s">
        <v>45</v>
      </c>
      <c r="E35" s="70">
        <v>803</v>
      </c>
      <c r="F35" s="70">
        <v>973</v>
      </c>
      <c r="G35" s="70">
        <v>1055</v>
      </c>
      <c r="H35" s="37">
        <f>H36*H142</f>
        <v>1169.0274151611902</v>
      </c>
      <c r="I35" s="37">
        <f>I36*I142</f>
        <v>1296.1251898100038</v>
      </c>
      <c r="J35" s="37">
        <f>J36*J142</f>
        <v>1422.2848387217637</v>
      </c>
      <c r="K35" s="37">
        <f>K36*K142</f>
        <v>1595.8120099661601</v>
      </c>
      <c r="L35" s="37">
        <f>L36*L142</f>
        <v>1722.0155447424038</v>
      </c>
    </row>
    <row r="36" spans="2:12" x14ac:dyDescent="0.2">
      <c r="C36" s="17" t="s">
        <v>753</v>
      </c>
      <c r="D36" s="49" t="s">
        <v>692</v>
      </c>
      <c r="E36" s="61">
        <f>E35/E190</f>
        <v>0.49813895781637718</v>
      </c>
      <c r="F36" s="61">
        <f>F35/F190</f>
        <v>0.68811881188118806</v>
      </c>
      <c r="G36" s="61">
        <f>G35/G190</f>
        <v>0.56117021276595747</v>
      </c>
      <c r="H36" s="79">
        <v>0.55000000000000004</v>
      </c>
      <c r="I36" s="79">
        <v>0.55000000000000004</v>
      </c>
      <c r="J36" s="79">
        <v>0.55000000000000004</v>
      </c>
      <c r="K36" s="79">
        <v>0.55000000000000004</v>
      </c>
      <c r="L36" s="79">
        <v>0.55000000000000004</v>
      </c>
    </row>
    <row r="37" spans="2:12" x14ac:dyDescent="0.2">
      <c r="D37" s="49"/>
      <c r="E37" s="59"/>
      <c r="F37" s="59"/>
      <c r="G37" s="59"/>
    </row>
    <row r="38" spans="2:12" x14ac:dyDescent="0.2">
      <c r="C38" t="s">
        <v>768</v>
      </c>
      <c r="D38" s="49" t="s">
        <v>45</v>
      </c>
      <c r="E38" s="70">
        <v>1167</v>
      </c>
      <c r="F38" s="70">
        <v>577</v>
      </c>
      <c r="G38" s="70">
        <v>115</v>
      </c>
      <c r="H38" s="193">
        <f>H39*H142</f>
        <v>531.37609780054095</v>
      </c>
      <c r="I38" s="193">
        <f>I39*I142</f>
        <v>589.14781355000173</v>
      </c>
      <c r="J38" s="193">
        <f>J39*J142</f>
        <v>646.49310850989252</v>
      </c>
      <c r="K38" s="193">
        <f>K39*K142</f>
        <v>725.36909543916363</v>
      </c>
      <c r="L38" s="193">
        <f>L39*L142</f>
        <v>782.73433851927439</v>
      </c>
    </row>
    <row r="39" spans="2:12" x14ac:dyDescent="0.2">
      <c r="C39" t="s">
        <v>769</v>
      </c>
      <c r="D39" s="49" t="s">
        <v>692</v>
      </c>
      <c r="E39" s="62">
        <f>E38/E142</f>
        <v>0.72394540942928043</v>
      </c>
      <c r="F39" s="62">
        <f>F38/F142</f>
        <v>0.40806223479490805</v>
      </c>
      <c r="G39" s="62">
        <f>G38/G142</f>
        <v>6.1170212765957445E-2</v>
      </c>
      <c r="H39" s="82">
        <v>0.25</v>
      </c>
      <c r="I39" s="82">
        <v>0.25</v>
      </c>
      <c r="J39" s="82">
        <v>0.25</v>
      </c>
      <c r="K39" s="82">
        <v>0.25</v>
      </c>
      <c r="L39" s="82">
        <v>0.25</v>
      </c>
    </row>
    <row r="40" spans="2:12" x14ac:dyDescent="0.2">
      <c r="E40" s="59"/>
      <c r="F40" s="59"/>
      <c r="G40" s="59"/>
    </row>
    <row r="41" spans="2:12" x14ac:dyDescent="0.2">
      <c r="B41" s="338" t="s">
        <v>766</v>
      </c>
      <c r="C41" s="338"/>
      <c r="D41" s="338"/>
      <c r="E41" s="339"/>
      <c r="F41" s="339"/>
      <c r="G41" s="339"/>
      <c r="H41" s="339"/>
      <c r="I41" s="339"/>
      <c r="J41" s="339"/>
      <c r="K41" s="339"/>
      <c r="L41" s="339"/>
    </row>
    <row r="42" spans="2:12" x14ac:dyDescent="0.2">
      <c r="C42" s="15" t="s">
        <v>760</v>
      </c>
    </row>
    <row r="43" spans="2:12" x14ac:dyDescent="0.2">
      <c r="C43" s="17" t="s">
        <v>32</v>
      </c>
      <c r="D43" s="49" t="s">
        <v>692</v>
      </c>
      <c r="E43" s="66">
        <v>4.1200000000000001E-2</v>
      </c>
    </row>
    <row r="44" spans="2:12" x14ac:dyDescent="0.2">
      <c r="C44" s="17" t="s">
        <v>758</v>
      </c>
      <c r="D44" s="49" t="s">
        <v>692</v>
      </c>
      <c r="E44" s="66">
        <v>2.4400000000000002E-2</v>
      </c>
    </row>
    <row r="45" spans="2:12" x14ac:dyDescent="0.2">
      <c r="C45" s="17" t="s">
        <v>759</v>
      </c>
      <c r="D45" s="49" t="s">
        <v>692</v>
      </c>
      <c r="E45" s="66">
        <v>3.3500000000000002E-2</v>
      </c>
    </row>
    <row r="47" spans="2:12" x14ac:dyDescent="0.2">
      <c r="C47" t="s">
        <v>757</v>
      </c>
    </row>
    <row r="48" spans="2:12" x14ac:dyDescent="0.2">
      <c r="C48" s="17" t="s">
        <v>755</v>
      </c>
      <c r="D48" s="49" t="s">
        <v>45</v>
      </c>
      <c r="H48" s="70">
        <v>1043</v>
      </c>
      <c r="I48" s="37">
        <f>H51</f>
        <v>1043</v>
      </c>
      <c r="J48" s="37">
        <f t="shared" ref="J48:L48" si="20">I51</f>
        <v>1043</v>
      </c>
      <c r="K48" s="37">
        <f t="shared" si="20"/>
        <v>1043</v>
      </c>
      <c r="L48" s="37">
        <f t="shared" si="20"/>
        <v>1043</v>
      </c>
    </row>
    <row r="49" spans="3:14" x14ac:dyDescent="0.2">
      <c r="C49" s="17" t="s">
        <v>783</v>
      </c>
      <c r="D49" s="49" t="s">
        <v>45</v>
      </c>
      <c r="H49" s="70">
        <v>-337</v>
      </c>
      <c r="I49" s="70">
        <v>0</v>
      </c>
      <c r="J49" s="70">
        <v>0</v>
      </c>
      <c r="K49" s="70">
        <v>0</v>
      </c>
      <c r="L49" s="70">
        <v>0</v>
      </c>
    </row>
    <row r="50" spans="3:14" x14ac:dyDescent="0.2">
      <c r="C50" s="120" t="s">
        <v>784</v>
      </c>
      <c r="D50" s="121" t="s">
        <v>45</v>
      </c>
      <c r="E50" s="21"/>
      <c r="F50" s="21"/>
      <c r="G50" s="21"/>
      <c r="H50" s="122">
        <f>-H49</f>
        <v>337</v>
      </c>
      <c r="I50" s="122">
        <f t="shared" ref="I50:L50" si="21">-I49</f>
        <v>0</v>
      </c>
      <c r="J50" s="122">
        <f t="shared" si="21"/>
        <v>0</v>
      </c>
      <c r="K50" s="122">
        <f t="shared" si="21"/>
        <v>0</v>
      </c>
      <c r="L50" s="122">
        <f t="shared" si="21"/>
        <v>0</v>
      </c>
    </row>
    <row r="51" spans="3:14" x14ac:dyDescent="0.2">
      <c r="C51" s="31" t="s">
        <v>756</v>
      </c>
      <c r="D51" s="48" t="s">
        <v>45</v>
      </c>
      <c r="E51" s="15"/>
      <c r="F51" s="15"/>
      <c r="G51" s="15"/>
      <c r="H51" s="35">
        <f>SUM(H48:H50)</f>
        <v>1043</v>
      </c>
      <c r="I51" s="35">
        <f t="shared" ref="I51:L51" si="22">SUM(I48:I50)</f>
        <v>1043</v>
      </c>
      <c r="J51" s="35">
        <f t="shared" si="22"/>
        <v>1043</v>
      </c>
      <c r="K51" s="35">
        <f t="shared" si="22"/>
        <v>1043</v>
      </c>
      <c r="L51" s="35">
        <f t="shared" si="22"/>
        <v>1043</v>
      </c>
    </row>
    <row r="53" spans="3:14" x14ac:dyDescent="0.2">
      <c r="C53" s="44" t="s">
        <v>764</v>
      </c>
    </row>
    <row r="54" spans="3:14" x14ac:dyDescent="0.2">
      <c r="C54" s="17" t="s">
        <v>755</v>
      </c>
      <c r="D54" s="49" t="s">
        <v>45</v>
      </c>
      <c r="H54" s="65">
        <v>1792</v>
      </c>
      <c r="I54" s="37">
        <f>H57</f>
        <v>1792</v>
      </c>
      <c r="J54" s="37">
        <f t="shared" ref="J54:L54" si="23">I57</f>
        <v>1792</v>
      </c>
      <c r="K54" s="37">
        <f t="shared" si="23"/>
        <v>1792</v>
      </c>
      <c r="L54" s="37">
        <f t="shared" si="23"/>
        <v>1792</v>
      </c>
    </row>
    <row r="55" spans="3:14" x14ac:dyDescent="0.2">
      <c r="C55" s="17" t="s">
        <v>783</v>
      </c>
      <c r="D55" s="49" t="s">
        <v>45</v>
      </c>
      <c r="H55" s="70">
        <v>0</v>
      </c>
      <c r="I55" s="70">
        <v>-300</v>
      </c>
      <c r="J55" s="70">
        <v>-554</v>
      </c>
      <c r="K55" s="70">
        <v>-360</v>
      </c>
      <c r="L55" s="70">
        <v>-578</v>
      </c>
    </row>
    <row r="56" spans="3:14" x14ac:dyDescent="0.2">
      <c r="C56" s="120" t="s">
        <v>784</v>
      </c>
      <c r="D56" s="121" t="s">
        <v>45</v>
      </c>
      <c r="E56" s="21"/>
      <c r="F56" s="21"/>
      <c r="G56" s="21"/>
      <c r="H56" s="122">
        <f>-H55</f>
        <v>0</v>
      </c>
      <c r="I56" s="122">
        <f t="shared" ref="I56" si="24">-I55</f>
        <v>300</v>
      </c>
      <c r="J56" s="122">
        <f t="shared" ref="J56" si="25">-J55</f>
        <v>554</v>
      </c>
      <c r="K56" s="122">
        <f t="shared" ref="K56" si="26">-K55</f>
        <v>360</v>
      </c>
      <c r="L56" s="122">
        <f t="shared" ref="L56" si="27">-L55</f>
        <v>578</v>
      </c>
    </row>
    <row r="57" spans="3:14" x14ac:dyDescent="0.2">
      <c r="C57" s="31" t="s">
        <v>756</v>
      </c>
      <c r="D57" s="48" t="s">
        <v>45</v>
      </c>
      <c r="E57" s="15"/>
      <c r="F57" s="15"/>
      <c r="G57" s="15"/>
      <c r="H57" s="35">
        <f>SUM(H54:H56)</f>
        <v>1792</v>
      </c>
      <c r="I57" s="35">
        <f t="shared" ref="I57" si="28">SUM(I54:I56)</f>
        <v>1792</v>
      </c>
      <c r="J57" s="35">
        <f t="shared" ref="J57" si="29">SUM(J54:J56)</f>
        <v>1792</v>
      </c>
      <c r="K57" s="35">
        <f t="shared" ref="K57" si="30">SUM(K54:K56)</f>
        <v>1792</v>
      </c>
      <c r="L57" s="35">
        <f t="shared" ref="L57" si="31">SUM(L54:L56)</f>
        <v>1792</v>
      </c>
    </row>
    <row r="58" spans="3:14" x14ac:dyDescent="0.2">
      <c r="C58" s="17"/>
    </row>
    <row r="59" spans="3:14" x14ac:dyDescent="0.2">
      <c r="C59" s="44" t="s">
        <v>759</v>
      </c>
      <c r="N59" s="37"/>
    </row>
    <row r="60" spans="3:14" x14ac:dyDescent="0.2">
      <c r="C60" s="17" t="s">
        <v>755</v>
      </c>
      <c r="D60" s="49" t="s">
        <v>45</v>
      </c>
      <c r="H60" s="65">
        <v>2591</v>
      </c>
      <c r="I60" s="37">
        <f>H63</f>
        <v>2591</v>
      </c>
      <c r="J60" s="37">
        <f t="shared" ref="J60:L60" si="32">I63</f>
        <v>2591</v>
      </c>
      <c r="K60" s="37">
        <f t="shared" si="32"/>
        <v>2591</v>
      </c>
      <c r="L60" s="37">
        <f t="shared" si="32"/>
        <v>2591</v>
      </c>
    </row>
    <row r="61" spans="3:14" x14ac:dyDescent="0.2">
      <c r="C61" s="17" t="s">
        <v>783</v>
      </c>
      <c r="D61" s="49" t="s">
        <v>45</v>
      </c>
      <c r="H61" s="70">
        <v>0</v>
      </c>
      <c r="I61" s="70">
        <v>0</v>
      </c>
      <c r="J61" s="70">
        <v>0</v>
      </c>
      <c r="K61" s="70">
        <v>0</v>
      </c>
      <c r="L61" s="70">
        <v>0</v>
      </c>
    </row>
    <row r="62" spans="3:14" x14ac:dyDescent="0.2">
      <c r="C62" s="120" t="s">
        <v>784</v>
      </c>
      <c r="D62" s="121" t="s">
        <v>45</v>
      </c>
      <c r="E62" s="21"/>
      <c r="F62" s="21"/>
      <c r="G62" s="21"/>
      <c r="H62" s="122">
        <f>-H61</f>
        <v>0</v>
      </c>
      <c r="I62" s="122">
        <f t="shared" ref="I62" si="33">-I61</f>
        <v>0</v>
      </c>
      <c r="J62" s="122">
        <f t="shared" ref="J62" si="34">-J61</f>
        <v>0</v>
      </c>
      <c r="K62" s="122">
        <f t="shared" ref="K62" si="35">-K61</f>
        <v>0</v>
      </c>
      <c r="L62" s="122">
        <f t="shared" ref="L62" si="36">-L61</f>
        <v>0</v>
      </c>
    </row>
    <row r="63" spans="3:14" x14ac:dyDescent="0.2">
      <c r="C63" s="31" t="s">
        <v>756</v>
      </c>
      <c r="D63" s="48" t="s">
        <v>45</v>
      </c>
      <c r="E63" s="15"/>
      <c r="F63" s="15"/>
      <c r="G63" s="15"/>
      <c r="H63" s="35">
        <f>SUM(H60:H62)</f>
        <v>2591</v>
      </c>
      <c r="I63" s="35">
        <f t="shared" ref="I63" si="37">SUM(I60:I62)</f>
        <v>2591</v>
      </c>
      <c r="J63" s="35">
        <f t="shared" ref="J63" si="38">SUM(J60:J62)</f>
        <v>2591</v>
      </c>
      <c r="K63" s="35">
        <f t="shared" ref="K63" si="39">SUM(K60:K62)</f>
        <v>2591</v>
      </c>
      <c r="L63" s="35">
        <f t="shared" ref="L63" si="40">SUM(L60:L62)</f>
        <v>2591</v>
      </c>
    </row>
    <row r="64" spans="3:14" x14ac:dyDescent="0.2">
      <c r="C64" s="17"/>
    </row>
    <row r="65" spans="2:12" x14ac:dyDescent="0.2">
      <c r="C65" s="17" t="s">
        <v>761</v>
      </c>
      <c r="D65" s="49" t="s">
        <v>45</v>
      </c>
      <c r="H65" s="37">
        <f>AVERAGE(H48,H51)*$E$43</f>
        <v>42.971600000000002</v>
      </c>
      <c r="I65" s="37">
        <f>AVERAGE(I48,I51)*$E$43</f>
        <v>42.971600000000002</v>
      </c>
      <c r="J65" s="37">
        <f>AVERAGE(J48,J51)*$E$43</f>
        <v>42.971600000000002</v>
      </c>
      <c r="K65" s="37">
        <f>AVERAGE(K48,K51)*$E$43</f>
        <v>42.971600000000002</v>
      </c>
      <c r="L65" s="37">
        <f>AVERAGE(L48,L51)*$E$43</f>
        <v>42.971600000000002</v>
      </c>
    </row>
    <row r="66" spans="2:12" x14ac:dyDescent="0.2">
      <c r="C66" s="17" t="s">
        <v>763</v>
      </c>
      <c r="D66" s="49" t="s">
        <v>45</v>
      </c>
      <c r="H66" s="37">
        <f>AVERAGE(H54,H57)*$E$44</f>
        <v>43.724800000000002</v>
      </c>
      <c r="I66" s="37">
        <f>AVERAGE(I54,I57)*$E$44</f>
        <v>43.724800000000002</v>
      </c>
      <c r="J66" s="37">
        <f>AVERAGE(J54,J57)*$E$44</f>
        <v>43.724800000000002</v>
      </c>
      <c r="K66" s="37">
        <f>AVERAGE(K54,K57)*$E$44</f>
        <v>43.724800000000002</v>
      </c>
      <c r="L66" s="37">
        <f>AVERAGE(L54,L57)*$E$44</f>
        <v>43.724800000000002</v>
      </c>
    </row>
    <row r="67" spans="2:12" x14ac:dyDescent="0.2">
      <c r="C67" s="120" t="s">
        <v>762</v>
      </c>
      <c r="D67" s="121" t="s">
        <v>45</v>
      </c>
      <c r="E67" s="21"/>
      <c r="F67" s="21"/>
      <c r="G67" s="21"/>
      <c r="H67" s="122">
        <f>AVERAGE(H60,H63)*$E$45</f>
        <v>86.798500000000004</v>
      </c>
      <c r="I67" s="122">
        <f>AVERAGE(I60,I63)*$E$45</f>
        <v>86.798500000000004</v>
      </c>
      <c r="J67" s="122">
        <f>AVERAGE(J60,J63)*$E$45</f>
        <v>86.798500000000004</v>
      </c>
      <c r="K67" s="122">
        <f>AVERAGE(K60,K63)*$E$45</f>
        <v>86.798500000000004</v>
      </c>
      <c r="L67" s="122">
        <f>AVERAGE(L60,L63)*$E$45</f>
        <v>86.798500000000004</v>
      </c>
    </row>
    <row r="68" spans="2:12" x14ac:dyDescent="0.2">
      <c r="C68" s="32" t="s">
        <v>765</v>
      </c>
      <c r="D68" s="48" t="s">
        <v>45</v>
      </c>
      <c r="E68" s="15"/>
      <c r="F68" s="15"/>
      <c r="G68" s="15"/>
      <c r="H68" s="35">
        <f>SUM(H65:H67)</f>
        <v>173.49490000000003</v>
      </c>
      <c r="I68" s="35">
        <f>SUM(I65:I67)</f>
        <v>173.49490000000003</v>
      </c>
      <c r="J68" s="35">
        <f>SUM(J65:J67)</f>
        <v>173.49490000000003</v>
      </c>
      <c r="K68" s="35">
        <f>SUM(K65:K67)</f>
        <v>173.49490000000003</v>
      </c>
      <c r="L68" s="35">
        <f>SUM(L65:L67)</f>
        <v>173.49490000000003</v>
      </c>
    </row>
    <row r="69" spans="2:12" x14ac:dyDescent="0.2">
      <c r="C69" s="32"/>
      <c r="H69" s="37"/>
      <c r="I69" s="37"/>
      <c r="J69" s="37"/>
      <c r="K69" s="37"/>
      <c r="L69" s="37"/>
    </row>
    <row r="70" spans="2:12" x14ac:dyDescent="0.2">
      <c r="C70" s="41" t="s">
        <v>767</v>
      </c>
      <c r="D70" s="49" t="s">
        <v>692</v>
      </c>
      <c r="E70" s="66">
        <v>3.5000000000000003E-2</v>
      </c>
      <c r="F70" s="62"/>
      <c r="G70" s="62"/>
      <c r="H70" s="37"/>
      <c r="I70" s="37"/>
      <c r="J70" s="37"/>
      <c r="K70" s="37"/>
      <c r="L70" s="37"/>
    </row>
    <row r="72" spans="2:12" x14ac:dyDescent="0.2">
      <c r="B72" s="336" t="s">
        <v>699</v>
      </c>
      <c r="C72" s="336"/>
      <c r="D72" s="336"/>
      <c r="E72" s="337"/>
      <c r="F72" s="337"/>
      <c r="G72" s="337"/>
      <c r="H72" s="337"/>
      <c r="I72" s="337"/>
      <c r="J72" s="337"/>
      <c r="K72" s="337"/>
      <c r="L72" s="337"/>
    </row>
    <row r="73" spans="2:12" x14ac:dyDescent="0.2">
      <c r="C73" t="s">
        <v>723</v>
      </c>
      <c r="D73" s="49" t="s">
        <v>45</v>
      </c>
      <c r="E73">
        <f>445-78</f>
        <v>367</v>
      </c>
      <c r="F73">
        <f>572-81</f>
        <v>491</v>
      </c>
      <c r="G73">
        <f>545-67</f>
        <v>478</v>
      </c>
      <c r="H73" s="37">
        <f>H74*H127</f>
        <v>526.53074576021322</v>
      </c>
      <c r="I73" s="37">
        <f>I74*I127</f>
        <v>578.46855672000015</v>
      </c>
      <c r="J73" s="37">
        <f>J74*J127</f>
        <v>632.19114583020007</v>
      </c>
      <c r="K73" s="37">
        <f>K74*K127</f>
        <v>688.42167465567911</v>
      </c>
      <c r="L73" s="37">
        <f>L74*L127</f>
        <v>746.96210348979241</v>
      </c>
    </row>
    <row r="74" spans="2:12" x14ac:dyDescent="0.2">
      <c r="C74" s="17" t="s">
        <v>725</v>
      </c>
      <c r="D74" s="49" t="s">
        <v>692</v>
      </c>
      <c r="E74" s="64">
        <f>E73/E127</f>
        <v>9.6815891523992937E-3</v>
      </c>
      <c r="F74" s="64">
        <f>F73/F127</f>
        <v>1.1689919527641542E-2</v>
      </c>
      <c r="G74" s="64">
        <f>G73/G127</f>
        <v>1.0375515519861081E-2</v>
      </c>
      <c r="H74" s="69">
        <f>AVERAGE(E74:G74)</f>
        <v>1.0582341399967304E-2</v>
      </c>
      <c r="I74" s="69">
        <v>1.0800000000000001E-2</v>
      </c>
      <c r="J74" s="69">
        <v>1.0999999999999999E-2</v>
      </c>
      <c r="K74" s="69">
        <v>1.12E-2</v>
      </c>
      <c r="L74" s="69">
        <v>1.14E-2</v>
      </c>
    </row>
    <row r="75" spans="2:12" x14ac:dyDescent="0.2">
      <c r="C75" t="s">
        <v>738</v>
      </c>
      <c r="D75" s="49" t="s">
        <v>45</v>
      </c>
      <c r="E75" s="28">
        <f>263+380</f>
        <v>643</v>
      </c>
      <c r="F75" s="28">
        <f>329+508</f>
        <v>837</v>
      </c>
      <c r="G75" s="28">
        <f>347+492</f>
        <v>839</v>
      </c>
      <c r="H75" s="37">
        <f>H76*H127</f>
        <v>913.87115886783181</v>
      </c>
      <c r="I75" s="37">
        <f>I76*I127</f>
        <v>996.25140324000006</v>
      </c>
      <c r="J75" s="37">
        <f>J76*J127</f>
        <v>1080.4721401461602</v>
      </c>
      <c r="K75" s="37">
        <f>K76*K127</f>
        <v>1167.8581980765985</v>
      </c>
      <c r="L75" s="37">
        <f>L76*L127</f>
        <v>1258.0414374564923</v>
      </c>
    </row>
    <row r="76" spans="2:12" x14ac:dyDescent="0.2">
      <c r="C76" s="120" t="s">
        <v>739</v>
      </c>
      <c r="D76" s="121" t="s">
        <v>692</v>
      </c>
      <c r="E76" s="194">
        <f>E75/E127</f>
        <v>1.6962566280634184E-2</v>
      </c>
      <c r="F76" s="194">
        <f>F75/F127</f>
        <v>1.9927622494166946E-2</v>
      </c>
      <c r="G76" s="195">
        <f>G75/G127</f>
        <v>1.8211417408291731E-2</v>
      </c>
      <c r="H76" s="126">
        <f>AVERAGE(E76:G76)</f>
        <v>1.8367202061030954E-2</v>
      </c>
      <c r="I76" s="126">
        <v>1.8599999999999998E-2</v>
      </c>
      <c r="J76" s="126">
        <v>1.8800000000000001E-2</v>
      </c>
      <c r="K76" s="126">
        <v>1.9E-2</v>
      </c>
      <c r="L76" s="126">
        <v>1.9199999999999998E-2</v>
      </c>
    </row>
    <row r="77" spans="2:12" x14ac:dyDescent="0.2">
      <c r="C77" s="15" t="s">
        <v>724</v>
      </c>
      <c r="D77" s="49" t="s">
        <v>45</v>
      </c>
      <c r="E77" s="15">
        <f>E73+E75</f>
        <v>1010</v>
      </c>
      <c r="F77" s="15">
        <f t="shared" ref="F77:G77" si="41">F73+F75</f>
        <v>1328</v>
      </c>
      <c r="G77" s="15">
        <f t="shared" si="41"/>
        <v>1317</v>
      </c>
      <c r="H77" s="35">
        <f>H73+H75</f>
        <v>1440.401904628045</v>
      </c>
      <c r="I77" s="35">
        <f t="shared" ref="I77:L77" si="42">I73+I75</f>
        <v>1574.7199599600003</v>
      </c>
      <c r="J77" s="35">
        <f t="shared" si="42"/>
        <v>1712.6632859763604</v>
      </c>
      <c r="K77" s="35">
        <f t="shared" si="42"/>
        <v>1856.2798727322775</v>
      </c>
      <c r="L77" s="35">
        <f t="shared" si="42"/>
        <v>2005.0035409462848</v>
      </c>
    </row>
    <row r="79" spans="2:12" x14ac:dyDescent="0.2">
      <c r="C79" t="s">
        <v>729</v>
      </c>
      <c r="D79" s="49" t="s">
        <v>45</v>
      </c>
      <c r="E79" s="65">
        <v>337</v>
      </c>
      <c r="F79" s="65">
        <v>374</v>
      </c>
      <c r="G79" s="65">
        <v>407</v>
      </c>
      <c r="H79" s="37">
        <f>H80*H84</f>
        <v>425.45183478338737</v>
      </c>
      <c r="I79" s="37">
        <f t="shared" ref="I79:L79" si="43">I80*I84</f>
        <v>452.86050790830586</v>
      </c>
      <c r="J79" s="37">
        <f t="shared" si="43"/>
        <v>486.92053010747526</v>
      </c>
      <c r="K79" s="37">
        <f t="shared" si="43"/>
        <v>526.31227644230364</v>
      </c>
      <c r="L79" s="37">
        <f t="shared" si="43"/>
        <v>570.27004629922601</v>
      </c>
    </row>
    <row r="80" spans="2:12" x14ac:dyDescent="0.2">
      <c r="C80" s="17" t="s">
        <v>728</v>
      </c>
      <c r="D80" s="49" t="s">
        <v>692</v>
      </c>
      <c r="E80" s="64">
        <f>E79/E87</f>
        <v>0.28902229845626071</v>
      </c>
      <c r="F80" s="64">
        <f t="shared" ref="F80:G80" si="44">F79/F87</f>
        <v>0.26506024096385544</v>
      </c>
      <c r="G80" s="64">
        <f t="shared" si="44"/>
        <v>0.25940089228808161</v>
      </c>
      <c r="H80" s="69">
        <f>AVERAGE(E80:G80)</f>
        <v>0.27116114390273255</v>
      </c>
      <c r="I80" s="69">
        <f>H80</f>
        <v>0.27116114390273255</v>
      </c>
      <c r="J80" s="69">
        <f t="shared" ref="J80:L82" si="45">I80</f>
        <v>0.27116114390273255</v>
      </c>
      <c r="K80" s="69">
        <f t="shared" si="45"/>
        <v>0.27116114390273255</v>
      </c>
      <c r="L80" s="69">
        <f t="shared" si="45"/>
        <v>0.27116114390273255</v>
      </c>
    </row>
    <row r="81" spans="2:12" x14ac:dyDescent="0.2">
      <c r="C81" t="s">
        <v>727</v>
      </c>
      <c r="D81" s="49" t="s">
        <v>45</v>
      </c>
      <c r="E81">
        <f>134+282+66</f>
        <v>482</v>
      </c>
      <c r="F81">
        <f>150+306+94</f>
        <v>550</v>
      </c>
      <c r="G81">
        <f>183+338+112</f>
        <v>633</v>
      </c>
      <c r="H81" s="37">
        <f>H82*H89</f>
        <v>664.83333514388448</v>
      </c>
      <c r="I81" s="37">
        <f t="shared" ref="I81:L81" si="46">I82*I89</f>
        <v>694.06508777865963</v>
      </c>
      <c r="J81" s="37">
        <f t="shared" si="46"/>
        <v>729.53534483074395</v>
      </c>
      <c r="K81" s="37">
        <f t="shared" si="46"/>
        <v>770.72787308891043</v>
      </c>
      <c r="L81" s="37">
        <f t="shared" si="46"/>
        <v>817.34254089405511</v>
      </c>
    </row>
    <row r="82" spans="2:12" x14ac:dyDescent="0.2">
      <c r="C82" s="17" t="s">
        <v>726</v>
      </c>
      <c r="D82" s="49" t="s">
        <v>692</v>
      </c>
      <c r="E82" s="64">
        <f>E81/E92</f>
        <v>0.12697576396206534</v>
      </c>
      <c r="F82" s="64">
        <f t="shared" ref="F82:G82" si="47">F81/F92</f>
        <v>0.1134020618556701</v>
      </c>
      <c r="G82" s="64">
        <f t="shared" si="47"/>
        <v>0.11175847457627118</v>
      </c>
      <c r="H82" s="69">
        <f>AVERAGE(E82:G82)</f>
        <v>0.1173787667980022</v>
      </c>
      <c r="I82" s="69">
        <f>H82</f>
        <v>0.1173787667980022</v>
      </c>
      <c r="J82" s="69">
        <f t="shared" si="45"/>
        <v>0.1173787667980022</v>
      </c>
      <c r="K82" s="69">
        <f t="shared" si="45"/>
        <v>0.1173787667980022</v>
      </c>
      <c r="L82" s="69">
        <f t="shared" si="45"/>
        <v>0.1173787667980022</v>
      </c>
    </row>
    <row r="84" spans="2:12" x14ac:dyDescent="0.2">
      <c r="C84" s="44" t="s">
        <v>730</v>
      </c>
      <c r="D84" s="49" t="s">
        <v>45</v>
      </c>
      <c r="E84" s="33"/>
      <c r="F84" s="33"/>
      <c r="G84" s="33"/>
      <c r="H84" s="70">
        <v>1569</v>
      </c>
      <c r="I84" s="37">
        <f>H87</f>
        <v>1670.0789109768257</v>
      </c>
      <c r="J84" s="37">
        <f t="shared" ref="J84:L84" si="48">I87</f>
        <v>1795.6869597885202</v>
      </c>
      <c r="K84" s="37">
        <f t="shared" si="48"/>
        <v>1940.9575755112451</v>
      </c>
      <c r="L84" s="37">
        <f t="shared" si="48"/>
        <v>2103.0669737246203</v>
      </c>
    </row>
    <row r="85" spans="2:12" x14ac:dyDescent="0.2">
      <c r="C85" s="17" t="s">
        <v>731</v>
      </c>
      <c r="D85" s="49" t="s">
        <v>45</v>
      </c>
      <c r="E85" s="33"/>
      <c r="F85" s="33"/>
      <c r="G85" s="33"/>
      <c r="H85" s="37">
        <f>H73</f>
        <v>526.53074576021322</v>
      </c>
      <c r="I85" s="37">
        <f t="shared" ref="I85:L85" si="49">I73</f>
        <v>578.46855672000015</v>
      </c>
      <c r="J85" s="37">
        <f t="shared" si="49"/>
        <v>632.19114583020007</v>
      </c>
      <c r="K85" s="37">
        <f t="shared" si="49"/>
        <v>688.42167465567911</v>
      </c>
      <c r="L85" s="37">
        <f t="shared" si="49"/>
        <v>746.96210348979241</v>
      </c>
    </row>
    <row r="86" spans="2:12" x14ac:dyDescent="0.2">
      <c r="C86" s="120" t="s">
        <v>732</v>
      </c>
      <c r="D86" s="121" t="s">
        <v>45</v>
      </c>
      <c r="E86" s="124"/>
      <c r="F86" s="124"/>
      <c r="G86" s="124"/>
      <c r="H86" s="125">
        <f>-H79</f>
        <v>-425.45183478338737</v>
      </c>
      <c r="I86" s="125">
        <f t="shared" ref="I86:L86" si="50">-I79</f>
        <v>-452.86050790830586</v>
      </c>
      <c r="J86" s="125">
        <f t="shared" si="50"/>
        <v>-486.92053010747526</v>
      </c>
      <c r="K86" s="125">
        <f t="shared" si="50"/>
        <v>-526.31227644230364</v>
      </c>
      <c r="L86" s="125">
        <f t="shared" si="50"/>
        <v>-570.27004629922601</v>
      </c>
    </row>
    <row r="87" spans="2:12" x14ac:dyDescent="0.2">
      <c r="C87" s="32" t="s">
        <v>733</v>
      </c>
      <c r="D87" s="49" t="s">
        <v>45</v>
      </c>
      <c r="E87" s="34">
        <v>1166</v>
      </c>
      <c r="F87" s="34">
        <v>1411</v>
      </c>
      <c r="G87" s="34">
        <v>1569</v>
      </c>
      <c r="H87" s="35">
        <f>SUM(H84:H86)</f>
        <v>1670.0789109768257</v>
      </c>
      <c r="I87" s="35">
        <f t="shared" ref="I87:L87" si="51">SUM(I84:I86)</f>
        <v>1795.6869597885202</v>
      </c>
      <c r="J87" s="35">
        <f t="shared" si="51"/>
        <v>1940.9575755112451</v>
      </c>
      <c r="K87" s="35">
        <f t="shared" si="51"/>
        <v>2103.0669737246203</v>
      </c>
      <c r="L87" s="35">
        <f t="shared" si="51"/>
        <v>2279.7590309151865</v>
      </c>
    </row>
    <row r="88" spans="2:12" x14ac:dyDescent="0.2">
      <c r="C88" s="44"/>
      <c r="E88" s="33"/>
      <c r="F88" s="33"/>
      <c r="G88" s="33"/>
    </row>
    <row r="89" spans="2:12" x14ac:dyDescent="0.2">
      <c r="C89" t="s">
        <v>734</v>
      </c>
      <c r="D89" s="49" t="s">
        <v>45</v>
      </c>
      <c r="E89" s="33"/>
      <c r="F89" s="33"/>
      <c r="G89" s="33"/>
      <c r="H89" s="70">
        <v>5664</v>
      </c>
      <c r="I89" s="37">
        <f t="shared" ref="I89:L89" si="52">H92</f>
        <v>5913.0378237239474</v>
      </c>
      <c r="J89" s="37">
        <f t="shared" si="52"/>
        <v>6215.2241391852885</v>
      </c>
      <c r="K89" s="37">
        <f t="shared" si="52"/>
        <v>6566.1609345007046</v>
      </c>
      <c r="L89" s="37">
        <f t="shared" si="52"/>
        <v>6963.2912594883928</v>
      </c>
    </row>
    <row r="90" spans="2:12" x14ac:dyDescent="0.2">
      <c r="C90" s="17" t="s">
        <v>735</v>
      </c>
      <c r="D90" s="49" t="s">
        <v>45</v>
      </c>
      <c r="E90" s="33"/>
      <c r="F90" s="33"/>
      <c r="G90" s="33"/>
      <c r="H90" s="37">
        <f>H75</f>
        <v>913.87115886783181</v>
      </c>
      <c r="I90" s="37">
        <f t="shared" ref="I90:L90" si="53">I75</f>
        <v>996.25140324000006</v>
      </c>
      <c r="J90" s="37">
        <f t="shared" si="53"/>
        <v>1080.4721401461602</v>
      </c>
      <c r="K90" s="37">
        <f t="shared" si="53"/>
        <v>1167.8581980765985</v>
      </c>
      <c r="L90" s="37">
        <f t="shared" si="53"/>
        <v>1258.0414374564923</v>
      </c>
    </row>
    <row r="91" spans="2:12" x14ac:dyDescent="0.2">
      <c r="C91" s="120" t="s">
        <v>736</v>
      </c>
      <c r="D91" s="121" t="s">
        <v>45</v>
      </c>
      <c r="E91" s="124"/>
      <c r="F91" s="124"/>
      <c r="G91" s="124"/>
      <c r="H91" s="122">
        <f>-H81</f>
        <v>-664.83333514388448</v>
      </c>
      <c r="I91" s="122">
        <f t="shared" ref="I91:L91" si="54">-I81</f>
        <v>-694.06508777865963</v>
      </c>
      <c r="J91" s="122">
        <f t="shared" si="54"/>
        <v>-729.53534483074395</v>
      </c>
      <c r="K91" s="122">
        <f t="shared" si="54"/>
        <v>-770.72787308891043</v>
      </c>
      <c r="L91" s="122">
        <f t="shared" si="54"/>
        <v>-817.34254089405511</v>
      </c>
    </row>
    <row r="92" spans="2:12" x14ac:dyDescent="0.2">
      <c r="C92" s="15" t="s">
        <v>737</v>
      </c>
      <c r="D92" s="49" t="s">
        <v>45</v>
      </c>
      <c r="E92" s="35">
        <f>2480+1316</f>
        <v>3796</v>
      </c>
      <c r="F92" s="35">
        <f>3325+1525</f>
        <v>4850</v>
      </c>
      <c r="G92" s="35">
        <f>3999+1665</f>
        <v>5664</v>
      </c>
      <c r="H92" s="35">
        <f>SUM(H89:H91)</f>
        <v>5913.0378237239474</v>
      </c>
      <c r="I92" s="35">
        <f t="shared" ref="I92:L92" si="55">SUM(I89:I91)</f>
        <v>6215.2241391852885</v>
      </c>
      <c r="J92" s="35">
        <f t="shared" si="55"/>
        <v>6566.1609345007046</v>
      </c>
      <c r="K92" s="35">
        <f t="shared" si="55"/>
        <v>6963.2912594883928</v>
      </c>
      <c r="L92" s="35">
        <f t="shared" si="55"/>
        <v>7403.9901560508297</v>
      </c>
    </row>
    <row r="94" spans="2:12" x14ac:dyDescent="0.2">
      <c r="B94" s="336" t="s">
        <v>700</v>
      </c>
      <c r="C94" s="336"/>
      <c r="D94" s="336"/>
      <c r="E94" s="337"/>
      <c r="F94" s="337"/>
      <c r="G94" s="337"/>
      <c r="H94" s="337"/>
      <c r="I94" s="337"/>
      <c r="J94" s="337"/>
      <c r="K94" s="337"/>
      <c r="L94" s="337"/>
    </row>
    <row r="95" spans="2:12" x14ac:dyDescent="0.2">
      <c r="C95" s="32" t="s">
        <v>698</v>
      </c>
      <c r="D95" s="48" t="s">
        <v>45</v>
      </c>
      <c r="E95" s="34">
        <v>992</v>
      </c>
      <c r="F95" s="34">
        <v>1144</v>
      </c>
      <c r="G95" s="34">
        <v>1377</v>
      </c>
      <c r="H95" s="35">
        <f>H118</f>
        <v>1416.2421994972062</v>
      </c>
      <c r="I95" s="35">
        <f t="shared" ref="I95:L95" si="56">I118</f>
        <v>1456.7933856221125</v>
      </c>
      <c r="J95" s="35">
        <f t="shared" si="56"/>
        <v>1498.5874340384112</v>
      </c>
      <c r="K95" s="35">
        <f t="shared" si="56"/>
        <v>1541.5731531187239</v>
      </c>
      <c r="L95" s="35">
        <f t="shared" si="56"/>
        <v>1585.7117199797326</v>
      </c>
    </row>
    <row r="96" spans="2:12" x14ac:dyDescent="0.2">
      <c r="C96" s="32"/>
      <c r="D96" s="48"/>
      <c r="E96" s="34"/>
      <c r="F96" s="34"/>
      <c r="G96" s="34"/>
      <c r="H96" s="35"/>
      <c r="I96" s="35"/>
      <c r="J96" s="35"/>
      <c r="K96" s="35"/>
      <c r="L96" s="35"/>
    </row>
    <row r="97" spans="3:12" x14ac:dyDescent="0.2">
      <c r="C97" s="17" t="s">
        <v>703</v>
      </c>
      <c r="D97" s="49" t="s">
        <v>45</v>
      </c>
      <c r="E97" s="33">
        <v>237</v>
      </c>
      <c r="F97" s="33">
        <v>273</v>
      </c>
      <c r="G97" s="33">
        <v>338</v>
      </c>
      <c r="H97" s="22">
        <f>H100*H98</f>
        <v>334.25040360185318</v>
      </c>
      <c r="I97" s="22">
        <f t="shared" ref="I97:L97" si="57">I100*I98</f>
        <v>340.39987629320706</v>
      </c>
      <c r="J97" s="22">
        <f t="shared" si="57"/>
        <v>346.7666488247138</v>
      </c>
      <c r="K97" s="22">
        <f t="shared" si="57"/>
        <v>353.33845867525264</v>
      </c>
      <c r="L97" s="22">
        <f t="shared" si="57"/>
        <v>360.10572291409983</v>
      </c>
    </row>
    <row r="98" spans="3:12" x14ac:dyDescent="0.2">
      <c r="C98" s="17" t="s">
        <v>720</v>
      </c>
      <c r="D98" s="49" t="s">
        <v>692</v>
      </c>
      <c r="E98" s="74">
        <f>E97/E100</f>
        <v>0.20555073720728534</v>
      </c>
      <c r="F98" s="74">
        <f t="shared" ref="F98:G98" si="58">F97/F100</f>
        <v>0.20760456273764258</v>
      </c>
      <c r="G98" s="74">
        <f t="shared" si="58"/>
        <v>0.21583652618135377</v>
      </c>
      <c r="H98" s="69">
        <f>AVERAGE(E98:G98)</f>
        <v>0.2096639420420939</v>
      </c>
      <c r="I98" s="69">
        <f>H98</f>
        <v>0.2096639420420939</v>
      </c>
      <c r="J98" s="69">
        <f t="shared" ref="J98:L98" si="59">I98</f>
        <v>0.2096639420420939</v>
      </c>
      <c r="K98" s="69">
        <f t="shared" si="59"/>
        <v>0.2096639420420939</v>
      </c>
      <c r="L98" s="69">
        <f t="shared" si="59"/>
        <v>0.2096639420420939</v>
      </c>
    </row>
    <row r="99" spans="3:12" x14ac:dyDescent="0.2">
      <c r="C99" s="120" t="s">
        <v>702</v>
      </c>
      <c r="D99" s="121" t="s">
        <v>45</v>
      </c>
      <c r="E99" s="124">
        <v>916</v>
      </c>
      <c r="F99" s="124">
        <v>1042</v>
      </c>
      <c r="G99" s="124">
        <v>1228</v>
      </c>
      <c r="H99" s="122">
        <f>H100-H97</f>
        <v>1259.9693766155112</v>
      </c>
      <c r="I99" s="127">
        <f t="shared" ref="I99:L99" si="60">I100-I97</f>
        <v>1283.1500435345215</v>
      </c>
      <c r="J99" s="127">
        <f t="shared" si="60"/>
        <v>1307.1498303145272</v>
      </c>
      <c r="K99" s="127">
        <f t="shared" si="60"/>
        <v>1331.9225129243055</v>
      </c>
      <c r="L99" s="127">
        <f t="shared" si="60"/>
        <v>1357.4319681486868</v>
      </c>
    </row>
    <row r="100" spans="3:12" x14ac:dyDescent="0.2">
      <c r="C100" s="15" t="s">
        <v>701</v>
      </c>
      <c r="D100" s="48" t="s">
        <v>45</v>
      </c>
      <c r="E100" s="35">
        <f>E97+E99</f>
        <v>1153</v>
      </c>
      <c r="F100" s="35">
        <f t="shared" ref="F100:G100" si="61">F97+F99</f>
        <v>1315</v>
      </c>
      <c r="G100" s="35">
        <f t="shared" si="61"/>
        <v>1566</v>
      </c>
      <c r="H100" s="35">
        <f>H123</f>
        <v>1594.2197802173644</v>
      </c>
      <c r="I100" s="35">
        <f t="shared" ref="I100:L100" si="62">I123</f>
        <v>1623.5499198277284</v>
      </c>
      <c r="J100" s="35">
        <f t="shared" si="62"/>
        <v>1653.9164791392409</v>
      </c>
      <c r="K100" s="35">
        <f t="shared" si="62"/>
        <v>1685.2609715995582</v>
      </c>
      <c r="L100" s="35">
        <f t="shared" si="62"/>
        <v>1717.5376910627865</v>
      </c>
    </row>
    <row r="101" spans="3:12" x14ac:dyDescent="0.2">
      <c r="D101" s="49"/>
      <c r="E101" s="37"/>
      <c r="F101" s="37"/>
      <c r="G101" s="37"/>
    </row>
    <row r="102" spans="3:12" x14ac:dyDescent="0.2">
      <c r="C102" t="s">
        <v>706</v>
      </c>
      <c r="D102" s="49" t="s">
        <v>45</v>
      </c>
      <c r="E102" s="70">
        <v>280</v>
      </c>
      <c r="F102" s="70">
        <v>262</v>
      </c>
      <c r="G102" s="70">
        <v>370</v>
      </c>
      <c r="H102" s="37">
        <f>AVERAGE(E102:G102)</f>
        <v>304</v>
      </c>
      <c r="I102" s="37">
        <f>H102*(1+I103)</f>
        <v>310.08</v>
      </c>
      <c r="J102" s="37">
        <f t="shared" ref="J102:L102" si="63">I102*(1+J103)</f>
        <v>316.28159999999997</v>
      </c>
      <c r="K102" s="37">
        <f t="shared" si="63"/>
        <v>322.60723199999995</v>
      </c>
      <c r="L102" s="37">
        <f t="shared" si="63"/>
        <v>329.05937663999998</v>
      </c>
    </row>
    <row r="103" spans="3:12" x14ac:dyDescent="0.2">
      <c r="C103" s="17" t="s">
        <v>719</v>
      </c>
      <c r="D103" s="49" t="s">
        <v>692</v>
      </c>
      <c r="E103" s="64"/>
      <c r="F103" s="64"/>
      <c r="G103" s="64"/>
      <c r="I103" s="73">
        <v>0.02</v>
      </c>
      <c r="J103" s="73">
        <v>0.02</v>
      </c>
      <c r="K103" s="73">
        <v>0.02</v>
      </c>
      <c r="L103" s="73">
        <v>0.02</v>
      </c>
    </row>
    <row r="104" spans="3:12" x14ac:dyDescent="0.2">
      <c r="D104" s="49"/>
    </row>
    <row r="105" spans="3:12" x14ac:dyDescent="0.2">
      <c r="C105" t="s">
        <v>704</v>
      </c>
      <c r="D105" s="49" t="s">
        <v>45</v>
      </c>
      <c r="E105" s="33">
        <v>50</v>
      </c>
      <c r="F105" s="33">
        <v>65</v>
      </c>
      <c r="G105" s="33">
        <v>77</v>
      </c>
      <c r="H105" s="37">
        <f>H106*G100</f>
        <v>74.105548208948505</v>
      </c>
      <c r="I105" s="37">
        <f>I106*H100</f>
        <v>75.44095196587304</v>
      </c>
      <c r="J105" s="37">
        <f>J106*I100</f>
        <v>76.82889965097587</v>
      </c>
      <c r="K105" s="37">
        <f>K106*J100</f>
        <v>78.265892323389139</v>
      </c>
      <c r="L105" s="37">
        <f>L106*K100</f>
        <v>79.749162308767851</v>
      </c>
    </row>
    <row r="106" spans="3:12" x14ac:dyDescent="0.2">
      <c r="C106" s="17" t="s">
        <v>716</v>
      </c>
      <c r="D106" s="49" t="s">
        <v>692</v>
      </c>
      <c r="E106" s="64">
        <f>E105/E100</f>
        <v>4.3365134431916738E-2</v>
      </c>
      <c r="F106" s="64">
        <f>F105/F100</f>
        <v>4.9429657794676805E-2</v>
      </c>
      <c r="G106" s="64">
        <f>G105/G100</f>
        <v>4.9169859514687102E-2</v>
      </c>
      <c r="H106" s="69">
        <f>AVERAGE(E106:G106)</f>
        <v>4.7321550580426884E-2</v>
      </c>
      <c r="I106" s="69">
        <f>H106</f>
        <v>4.7321550580426884E-2</v>
      </c>
      <c r="J106" s="69">
        <f t="shared" ref="J106:L106" si="64">I106</f>
        <v>4.7321550580426884E-2</v>
      </c>
      <c r="K106" s="69">
        <f t="shared" si="64"/>
        <v>4.7321550580426884E-2</v>
      </c>
      <c r="L106" s="69">
        <f t="shared" si="64"/>
        <v>4.7321550580426884E-2</v>
      </c>
    </row>
    <row r="107" spans="3:12" x14ac:dyDescent="0.2">
      <c r="C107" t="s">
        <v>705</v>
      </c>
      <c r="D107" s="49" t="s">
        <v>45</v>
      </c>
      <c r="E107" s="65">
        <v>199</v>
      </c>
      <c r="F107" s="65">
        <v>220</v>
      </c>
      <c r="G107" s="65">
        <v>262</v>
      </c>
      <c r="H107" s="37">
        <f>H108*G100</f>
        <v>264.75780050279371</v>
      </c>
      <c r="I107" s="37">
        <f>I108*H100</f>
        <v>269.52881387509359</v>
      </c>
      <c r="J107" s="37">
        <f>J108*I100</f>
        <v>274.48755158370142</v>
      </c>
      <c r="K107" s="37">
        <f>K108*J100</f>
        <v>279.62151291968718</v>
      </c>
      <c r="L107" s="37">
        <f>L108*K100</f>
        <v>284.92080977899116</v>
      </c>
    </row>
    <row r="108" spans="3:12" x14ac:dyDescent="0.2">
      <c r="C108" s="17" t="s">
        <v>715</v>
      </c>
      <c r="D108" s="49" t="s">
        <v>692</v>
      </c>
      <c r="E108" s="64">
        <f>E107/E100</f>
        <v>0.17259323503902863</v>
      </c>
      <c r="F108" s="64">
        <f>F107/F100</f>
        <v>0.16730038022813687</v>
      </c>
      <c r="G108" s="64">
        <f>G107/G100</f>
        <v>0.1673052362707535</v>
      </c>
      <c r="H108" s="69">
        <f>AVERAGE(E108:G108)</f>
        <v>0.169066283845973</v>
      </c>
      <c r="I108" s="69">
        <f>H108</f>
        <v>0.169066283845973</v>
      </c>
      <c r="J108" s="69">
        <f t="shared" ref="J108:L108" si="65">I108</f>
        <v>0.169066283845973</v>
      </c>
      <c r="K108" s="69">
        <f t="shared" si="65"/>
        <v>0.169066283845973</v>
      </c>
      <c r="L108" s="69">
        <f t="shared" si="65"/>
        <v>0.169066283845973</v>
      </c>
    </row>
    <row r="109" spans="3:12" x14ac:dyDescent="0.2">
      <c r="D109" s="49"/>
    </row>
    <row r="110" spans="3:12" x14ac:dyDescent="0.2">
      <c r="C110" t="s">
        <v>713</v>
      </c>
      <c r="D110" s="49" t="s">
        <v>45</v>
      </c>
      <c r="E110" s="70">
        <f>E113+E105</f>
        <v>265</v>
      </c>
      <c r="F110" s="70">
        <f t="shared" ref="F110:G110" si="66">F113+F105</f>
        <v>292</v>
      </c>
      <c r="G110" s="70">
        <f t="shared" si="66"/>
        <v>342</v>
      </c>
      <c r="H110" s="37">
        <f>H111*G100</f>
        <v>349.8857679915842</v>
      </c>
      <c r="I110" s="37">
        <f t="shared" ref="I110:L110" si="67">I111*H100</f>
        <v>356.19081235550902</v>
      </c>
      <c r="J110" s="37">
        <f t="shared" si="67"/>
        <v>362.74394033946345</v>
      </c>
      <c r="K110" s="37">
        <f t="shared" si="67"/>
        <v>369.52863186307167</v>
      </c>
      <c r="L110" s="37">
        <f t="shared" si="67"/>
        <v>376.53181948553947</v>
      </c>
    </row>
    <row r="111" spans="3:12" x14ac:dyDescent="0.2">
      <c r="C111" t="s">
        <v>714</v>
      </c>
      <c r="D111" s="49" t="s">
        <v>692</v>
      </c>
      <c r="E111" s="72">
        <f>E110/E100</f>
        <v>0.22983521248915872</v>
      </c>
      <c r="F111" s="72">
        <f>F110/F100</f>
        <v>0.22205323193916349</v>
      </c>
      <c r="G111" s="72">
        <f>G110/G100</f>
        <v>0.21839080459770116</v>
      </c>
      <c r="H111" s="69">
        <f>AVERAGE(E111:G111)</f>
        <v>0.2234264163420078</v>
      </c>
      <c r="I111" s="69">
        <f>H111</f>
        <v>0.2234264163420078</v>
      </c>
      <c r="J111" s="69">
        <f t="shared" ref="J111:L111" si="68">I111</f>
        <v>0.2234264163420078</v>
      </c>
      <c r="K111" s="69">
        <f t="shared" si="68"/>
        <v>0.2234264163420078</v>
      </c>
      <c r="L111" s="69">
        <f t="shared" si="68"/>
        <v>0.2234264163420078</v>
      </c>
    </row>
    <row r="112" spans="3:12" x14ac:dyDescent="0.2">
      <c r="D112" s="49"/>
    </row>
    <row r="113" spans="2:12" x14ac:dyDescent="0.2">
      <c r="C113" t="s">
        <v>717</v>
      </c>
      <c r="D113" s="49" t="s">
        <v>45</v>
      </c>
      <c r="E113" s="70">
        <v>215</v>
      </c>
      <c r="F113" s="70">
        <v>227</v>
      </c>
      <c r="G113" s="70">
        <v>265</v>
      </c>
      <c r="H113" s="37">
        <f t="shared" ref="H113:L113" si="69">H110-H105</f>
        <v>275.7802197826357</v>
      </c>
      <c r="I113" s="37">
        <f t="shared" si="69"/>
        <v>280.74986038963596</v>
      </c>
      <c r="J113" s="37">
        <f t="shared" si="69"/>
        <v>285.91504068848758</v>
      </c>
      <c r="K113" s="37">
        <f t="shared" si="69"/>
        <v>291.26273953968251</v>
      </c>
      <c r="L113" s="37">
        <f t="shared" si="69"/>
        <v>296.78265717677164</v>
      </c>
    </row>
    <row r="114" spans="2:12" x14ac:dyDescent="0.2">
      <c r="D114" s="49"/>
    </row>
    <row r="115" spans="2:12" x14ac:dyDescent="0.2">
      <c r="C115" t="s">
        <v>707</v>
      </c>
      <c r="D115" s="49" t="s">
        <v>45</v>
      </c>
      <c r="F115" s="37"/>
      <c r="H115" s="37">
        <f>G95</f>
        <v>1377</v>
      </c>
      <c r="I115" s="37">
        <f>H118</f>
        <v>1416.2421994972062</v>
      </c>
      <c r="J115" s="37">
        <f t="shared" ref="J115:L115" si="70">I118</f>
        <v>1456.7933856221125</v>
      </c>
      <c r="K115" s="37">
        <f t="shared" si="70"/>
        <v>1498.5874340384112</v>
      </c>
      <c r="L115" s="37">
        <f t="shared" si="70"/>
        <v>1541.5731531187239</v>
      </c>
    </row>
    <row r="116" spans="2:12" x14ac:dyDescent="0.2">
      <c r="C116" s="17" t="s">
        <v>709</v>
      </c>
      <c r="D116" s="49" t="s">
        <v>45</v>
      </c>
      <c r="F116" s="37"/>
      <c r="H116" s="37">
        <f>H102</f>
        <v>304</v>
      </c>
      <c r="I116" s="37">
        <f>I102</f>
        <v>310.08</v>
      </c>
      <c r="J116" s="37">
        <f>J102</f>
        <v>316.28159999999997</v>
      </c>
      <c r="K116" s="37">
        <f>K102</f>
        <v>322.60723199999995</v>
      </c>
      <c r="L116" s="37">
        <f>L102</f>
        <v>329.05937663999998</v>
      </c>
    </row>
    <row r="117" spans="2:12" x14ac:dyDescent="0.2">
      <c r="C117" s="120" t="s">
        <v>710</v>
      </c>
      <c r="D117" s="121" t="s">
        <v>45</v>
      </c>
      <c r="E117" s="21"/>
      <c r="F117" s="21"/>
      <c r="G117" s="21"/>
      <c r="H117" s="122">
        <f>-H107</f>
        <v>-264.75780050279371</v>
      </c>
      <c r="I117" s="122">
        <f>-I107</f>
        <v>-269.52881387509359</v>
      </c>
      <c r="J117" s="122">
        <f t="shared" ref="J117:L117" si="71">-J107</f>
        <v>-274.48755158370142</v>
      </c>
      <c r="K117" s="122">
        <f t="shared" si="71"/>
        <v>-279.62151291968718</v>
      </c>
      <c r="L117" s="122">
        <f t="shared" si="71"/>
        <v>-284.92080977899116</v>
      </c>
    </row>
    <row r="118" spans="2:12" x14ac:dyDescent="0.2">
      <c r="C118" s="15" t="s">
        <v>708</v>
      </c>
      <c r="D118" s="48" t="s">
        <v>45</v>
      </c>
      <c r="H118" s="35">
        <f>SUM(H115:H117)</f>
        <v>1416.2421994972062</v>
      </c>
      <c r="I118" s="35">
        <f>SUM(I115:I117)</f>
        <v>1456.7933856221125</v>
      </c>
      <c r="J118" s="35">
        <f t="shared" ref="J118:L118" si="72">SUM(J115:J117)</f>
        <v>1498.5874340384112</v>
      </c>
      <c r="K118" s="35">
        <f t="shared" si="72"/>
        <v>1541.5731531187239</v>
      </c>
      <c r="L118" s="35">
        <f t="shared" si="72"/>
        <v>1585.7117199797326</v>
      </c>
    </row>
    <row r="119" spans="2:12" x14ac:dyDescent="0.2">
      <c r="C119" s="15"/>
      <c r="D119" s="49"/>
      <c r="H119" s="37"/>
      <c r="I119" s="37"/>
      <c r="J119" s="37"/>
      <c r="K119" s="37"/>
      <c r="L119" s="37"/>
    </row>
    <row r="120" spans="2:12" x14ac:dyDescent="0.2">
      <c r="C120" s="28" t="s">
        <v>711</v>
      </c>
      <c r="D120" s="49" t="s">
        <v>45</v>
      </c>
      <c r="H120" s="37">
        <f>G100</f>
        <v>1566</v>
      </c>
      <c r="I120" s="37">
        <f>H123</f>
        <v>1594.2197802173644</v>
      </c>
      <c r="J120" s="37">
        <f t="shared" ref="J120:L120" si="73">I123</f>
        <v>1623.5499198277284</v>
      </c>
      <c r="K120" s="37">
        <f t="shared" si="73"/>
        <v>1653.9164791392409</v>
      </c>
      <c r="L120" s="37">
        <f t="shared" si="73"/>
        <v>1685.2609715995582</v>
      </c>
    </row>
    <row r="121" spans="2:12" x14ac:dyDescent="0.2">
      <c r="C121" s="26" t="s">
        <v>709</v>
      </c>
      <c r="D121" s="49" t="s">
        <v>45</v>
      </c>
      <c r="H121" s="37">
        <f>H102</f>
        <v>304</v>
      </c>
      <c r="I121" s="37">
        <f>I102</f>
        <v>310.08</v>
      </c>
      <c r="J121" s="37">
        <f>J102</f>
        <v>316.28159999999997</v>
      </c>
      <c r="K121" s="37">
        <f>K102</f>
        <v>322.60723199999995</v>
      </c>
      <c r="L121" s="37">
        <f>L102</f>
        <v>329.05937663999998</v>
      </c>
    </row>
    <row r="122" spans="2:12" x14ac:dyDescent="0.2">
      <c r="C122" s="123" t="s">
        <v>718</v>
      </c>
      <c r="D122" s="121" t="s">
        <v>45</v>
      </c>
      <c r="E122" s="21"/>
      <c r="F122" s="21"/>
      <c r="G122" s="21"/>
      <c r="H122" s="122">
        <f>-H113</f>
        <v>-275.7802197826357</v>
      </c>
      <c r="I122" s="122">
        <f t="shared" ref="I122:L122" si="74">-I113</f>
        <v>-280.74986038963596</v>
      </c>
      <c r="J122" s="122">
        <f t="shared" si="74"/>
        <v>-285.91504068848758</v>
      </c>
      <c r="K122" s="122">
        <f t="shared" si="74"/>
        <v>-291.26273953968251</v>
      </c>
      <c r="L122" s="122">
        <f t="shared" si="74"/>
        <v>-296.78265717677164</v>
      </c>
    </row>
    <row r="123" spans="2:12" x14ac:dyDescent="0.2">
      <c r="C123" s="15" t="s">
        <v>712</v>
      </c>
      <c r="D123" s="48" t="s">
        <v>45</v>
      </c>
      <c r="H123" s="35">
        <f>SUM(H120:H122)</f>
        <v>1594.2197802173644</v>
      </c>
      <c r="I123" s="35">
        <f>SUM(I120:I122)</f>
        <v>1623.5499198277284</v>
      </c>
      <c r="J123" s="35">
        <f>SUM(J120:J122)</f>
        <v>1653.9164791392409</v>
      </c>
      <c r="K123" s="35">
        <f>SUM(K120:K122)</f>
        <v>1685.2609715995582</v>
      </c>
      <c r="L123" s="35">
        <f>SUM(L120:L122)</f>
        <v>1717.5376910627865</v>
      </c>
    </row>
    <row r="124" spans="2:12" x14ac:dyDescent="0.2">
      <c r="C124" s="28"/>
    </row>
    <row r="125" spans="2:12" x14ac:dyDescent="0.2">
      <c r="B125" s="1"/>
      <c r="C125" s="1"/>
      <c r="D125" s="3"/>
      <c r="E125" s="10"/>
      <c r="F125" s="10" t="s">
        <v>4</v>
      </c>
      <c r="G125" s="12"/>
      <c r="H125" s="13"/>
      <c r="I125" s="14"/>
      <c r="J125" s="14" t="s">
        <v>5</v>
      </c>
      <c r="K125" s="14"/>
      <c r="L125" s="14"/>
    </row>
    <row r="126" spans="2:12" x14ac:dyDescent="0.2">
      <c r="B126" s="2" t="s">
        <v>6</v>
      </c>
      <c r="C126" s="1"/>
      <c r="D126" s="47" t="s">
        <v>3</v>
      </c>
      <c r="E126" s="45">
        <f>EOMONTH(F126,-12)</f>
        <v>45199</v>
      </c>
      <c r="F126" s="45">
        <f>EOMONTH(G126,-12)</f>
        <v>45565</v>
      </c>
      <c r="G126" s="46">
        <f>$E$3</f>
        <v>45930</v>
      </c>
      <c r="H126" s="45">
        <f>EOMONTH(G126,12)</f>
        <v>46295</v>
      </c>
      <c r="I126" s="45">
        <f t="shared" ref="I126:L126" si="75">EOMONTH(H126,12)</f>
        <v>46660</v>
      </c>
      <c r="J126" s="45">
        <f t="shared" si="75"/>
        <v>47026</v>
      </c>
      <c r="K126" s="45">
        <f t="shared" si="75"/>
        <v>47391</v>
      </c>
      <c r="L126" s="45">
        <f t="shared" si="75"/>
        <v>47756</v>
      </c>
    </row>
    <row r="127" spans="2:12" x14ac:dyDescent="0.2">
      <c r="C127" s="15" t="s">
        <v>9</v>
      </c>
      <c r="D127" s="48" t="s">
        <v>45</v>
      </c>
      <c r="E127" s="34">
        <v>37907</v>
      </c>
      <c r="F127" s="34">
        <v>42002</v>
      </c>
      <c r="G127" s="34">
        <v>46070</v>
      </c>
      <c r="H127" s="35">
        <f>H8</f>
        <v>49755.600000000006</v>
      </c>
      <c r="I127" s="35">
        <f>I8</f>
        <v>53561.90340000001</v>
      </c>
      <c r="J127" s="35">
        <f>J8</f>
        <v>57471.922348200009</v>
      </c>
      <c r="K127" s="35">
        <f>K8</f>
        <v>61466.220951399919</v>
      </c>
      <c r="L127" s="35">
        <f>L8</f>
        <v>65522.991534192319</v>
      </c>
    </row>
    <row r="128" spans="2:12" x14ac:dyDescent="0.2">
      <c r="C128" s="26" t="s">
        <v>17</v>
      </c>
      <c r="D128" s="49" t="s">
        <v>45</v>
      </c>
      <c r="E128" s="33">
        <v>-12254</v>
      </c>
      <c r="F128" s="33">
        <v>-13293</v>
      </c>
      <c r="G128" s="33">
        <v>-14212</v>
      </c>
      <c r="H128" s="37">
        <f>-H14</f>
        <v>-15225.213600000001</v>
      </c>
      <c r="I128" s="37">
        <f>-I14</f>
        <v>-16282.818633600004</v>
      </c>
      <c r="J128" s="37">
        <f>-J14</f>
        <v>-17356.520549156401</v>
      </c>
      <c r="K128" s="37">
        <f>-K14</f>
        <v>-18439.866285419976</v>
      </c>
      <c r="L128" s="37">
        <f>-L14</f>
        <v>-19656.897460257696</v>
      </c>
    </row>
    <row r="129" spans="2:12" x14ac:dyDescent="0.2">
      <c r="C129" s="26" t="s">
        <v>18</v>
      </c>
      <c r="D129" s="49" t="s">
        <v>45</v>
      </c>
      <c r="E129" s="33">
        <v>-22175</v>
      </c>
      <c r="F129" s="33">
        <v>-24711</v>
      </c>
      <c r="G129" s="33">
        <v>-27373</v>
      </c>
      <c r="H129" s="37">
        <f>-H16</f>
        <v>-29654.337600000003</v>
      </c>
      <c r="I129" s="37">
        <f>-I16</f>
        <v>-32030.018233200004</v>
      </c>
      <c r="J129" s="37">
        <f>-J16</f>
        <v>-34483.153408920007</v>
      </c>
      <c r="K129" s="37">
        <f>-K16</f>
        <v>-36879.732570839951</v>
      </c>
      <c r="L129" s="37">
        <f>-L16</f>
        <v>-39313.794920515393</v>
      </c>
    </row>
    <row r="130" spans="2:12" x14ac:dyDescent="0.2">
      <c r="C130" s="26" t="s">
        <v>48</v>
      </c>
      <c r="D130" s="49" t="s">
        <v>45</v>
      </c>
      <c r="E130" s="33">
        <v>-952</v>
      </c>
      <c r="F130" s="33">
        <v>-1050</v>
      </c>
      <c r="G130" s="33">
        <v>-1190</v>
      </c>
      <c r="H130" s="37">
        <f>-(H79+H81+H107)</f>
        <v>-1355.0429704300657</v>
      </c>
      <c r="I130" s="37">
        <f>-(I79+I81+I107)</f>
        <v>-1416.4544095620593</v>
      </c>
      <c r="J130" s="37">
        <f>-(J79+J81+J107)</f>
        <v>-1490.9434265219206</v>
      </c>
      <c r="K130" s="37">
        <f>-(K79+K81+K107)</f>
        <v>-1576.6616624509011</v>
      </c>
      <c r="L130" s="37">
        <f>-(L79+L81+L107)</f>
        <v>-1672.5333969722724</v>
      </c>
    </row>
    <row r="131" spans="2:12" x14ac:dyDescent="0.2">
      <c r="C131" s="19" t="s">
        <v>770</v>
      </c>
      <c r="D131" s="49" t="s">
        <v>45</v>
      </c>
      <c r="E131" s="33">
        <v>-281</v>
      </c>
      <c r="F131" s="33">
        <v>-408</v>
      </c>
      <c r="G131" s="33">
        <v>-368</v>
      </c>
      <c r="H131" s="37">
        <f>-H18</f>
        <v>-352.33333333333331</v>
      </c>
      <c r="I131" s="37">
        <f>-I18</f>
        <v>-352.33333333333331</v>
      </c>
      <c r="J131" s="37">
        <f>-J18</f>
        <v>-352.33333333333331</v>
      </c>
      <c r="K131" s="37">
        <f>-K18</f>
        <v>-352.33333333333331</v>
      </c>
      <c r="L131" s="37">
        <f>-L18</f>
        <v>-352.33333333333331</v>
      </c>
    </row>
    <row r="132" spans="2:12" x14ac:dyDescent="0.2">
      <c r="C132" s="19" t="s">
        <v>19</v>
      </c>
      <c r="D132" s="49" t="s">
        <v>45</v>
      </c>
      <c r="E132" s="33">
        <v>68</v>
      </c>
      <c r="F132" s="33">
        <v>44</v>
      </c>
      <c r="G132" s="33">
        <v>37</v>
      </c>
      <c r="H132" s="70">
        <v>0</v>
      </c>
      <c r="I132" s="70">
        <v>0</v>
      </c>
      <c r="J132" s="70">
        <v>0</v>
      </c>
      <c r="K132" s="70">
        <v>0</v>
      </c>
      <c r="L132" s="70">
        <v>0</v>
      </c>
    </row>
    <row r="133" spans="2:12" x14ac:dyDescent="0.2">
      <c r="C133" s="18" t="s">
        <v>10</v>
      </c>
      <c r="D133" s="50" t="s">
        <v>45</v>
      </c>
      <c r="E133" s="36">
        <f>SUM(E127:E132)</f>
        <v>2313</v>
      </c>
      <c r="F133" s="36">
        <f t="shared" ref="F133:G133" si="76">SUM(F127:F132)</f>
        <v>2584</v>
      </c>
      <c r="G133" s="36">
        <f t="shared" si="76"/>
        <v>2964</v>
      </c>
      <c r="H133" s="36">
        <f t="shared" ref="H133" si="77">SUM(H127:H132)</f>
        <v>3168.6724962366011</v>
      </c>
      <c r="I133" s="36">
        <f t="shared" ref="I133" si="78">SUM(I127:I132)</f>
        <v>3480.278790304606</v>
      </c>
      <c r="J133" s="36">
        <f t="shared" ref="J133" si="79">SUM(J127:J132)</f>
        <v>3788.9716302683505</v>
      </c>
      <c r="K133" s="36">
        <f t="shared" ref="K133" si="80">SUM(K127:K132)</f>
        <v>4217.6270993557619</v>
      </c>
      <c r="L133" s="36">
        <f t="shared" ref="L133" si="81">SUM(L127:L132)</f>
        <v>4527.4324231136279</v>
      </c>
    </row>
    <row r="134" spans="2:12" x14ac:dyDescent="0.2">
      <c r="C134" s="20"/>
      <c r="D134" s="48"/>
      <c r="E134" s="35"/>
      <c r="F134" s="35"/>
      <c r="G134" s="35"/>
      <c r="H134" s="35"/>
      <c r="I134" s="35"/>
      <c r="J134" s="35"/>
      <c r="K134" s="35"/>
      <c r="L134" s="35"/>
    </row>
    <row r="135" spans="2:12" x14ac:dyDescent="0.2">
      <c r="C135" s="23" t="s">
        <v>11</v>
      </c>
      <c r="D135" s="49" t="s">
        <v>45</v>
      </c>
      <c r="E135" s="33">
        <v>59</v>
      </c>
      <c r="F135" s="33">
        <v>68</v>
      </c>
      <c r="G135" s="33">
        <v>80</v>
      </c>
      <c r="H135" s="22">
        <f>H212*$E$70</f>
        <v>17.920000000000002</v>
      </c>
      <c r="I135" s="22">
        <f t="shared" ref="I135:L135" si="82">I212*$E$70</f>
        <v>27.179125983164457</v>
      </c>
      <c r="J135" s="22">
        <f t="shared" si="82"/>
        <v>37.045756052864697</v>
      </c>
      <c r="K135" s="22">
        <f t="shared" si="82"/>
        <v>46.083067816875342</v>
      </c>
      <c r="L135" s="22">
        <f t="shared" si="82"/>
        <v>55.04286760059216</v>
      </c>
    </row>
    <row r="136" spans="2:12" x14ac:dyDescent="0.2">
      <c r="C136" s="23" t="s">
        <v>12</v>
      </c>
      <c r="D136" s="49" t="s">
        <v>45</v>
      </c>
      <c r="E136" s="33">
        <v>-259</v>
      </c>
      <c r="F136" s="33">
        <v>-393</v>
      </c>
      <c r="G136" s="33">
        <v>-429</v>
      </c>
      <c r="H136" s="22">
        <f>-(H105+H68)</f>
        <v>-247.60044820894854</v>
      </c>
      <c r="I136" s="22">
        <f>-(I105+I68)</f>
        <v>-248.93585196587307</v>
      </c>
      <c r="J136" s="22">
        <f>-(J105+J68)</f>
        <v>-250.3237996509759</v>
      </c>
      <c r="K136" s="22">
        <f>-(K105+K68)</f>
        <v>-251.76079232338918</v>
      </c>
      <c r="L136" s="22">
        <f>-(L105+L68)</f>
        <v>-253.24406230876787</v>
      </c>
    </row>
    <row r="137" spans="2:12" x14ac:dyDescent="0.2">
      <c r="C137" s="23" t="s">
        <v>14</v>
      </c>
      <c r="D137" s="49" t="s">
        <v>45</v>
      </c>
      <c r="E137" s="33">
        <v>24</v>
      </c>
      <c r="F137" s="33">
        <v>-203</v>
      </c>
      <c r="G137" s="33">
        <v>-31</v>
      </c>
      <c r="H137" s="33">
        <v>0</v>
      </c>
      <c r="I137" s="33">
        <v>0</v>
      </c>
      <c r="J137" s="33">
        <v>0</v>
      </c>
      <c r="K137" s="33">
        <v>0</v>
      </c>
      <c r="L137" s="33">
        <v>0</v>
      </c>
    </row>
    <row r="138" spans="2:12" x14ac:dyDescent="0.2">
      <c r="C138" s="18" t="s">
        <v>13</v>
      </c>
      <c r="D138" s="50" t="s">
        <v>45</v>
      </c>
      <c r="E138" s="36">
        <f>E133+SUM(E135:E137)</f>
        <v>2137</v>
      </c>
      <c r="F138" s="36">
        <f t="shared" ref="F138:G138" si="83">F133+SUM(F135:F137)</f>
        <v>2056</v>
      </c>
      <c r="G138" s="36">
        <f t="shared" si="83"/>
        <v>2584</v>
      </c>
      <c r="H138" s="36">
        <f t="shared" ref="H138" si="84">H133+SUM(H135:H137)</f>
        <v>2938.9920480276523</v>
      </c>
      <c r="I138" s="36">
        <f t="shared" ref="I138" si="85">I133+SUM(I135:I137)</f>
        <v>3258.5220643218972</v>
      </c>
      <c r="J138" s="36">
        <f t="shared" ref="J138" si="86">J133+SUM(J135:J137)</f>
        <v>3575.6935866702393</v>
      </c>
      <c r="K138" s="36">
        <f t="shared" ref="K138" si="87">K133+SUM(K135:K137)</f>
        <v>4011.9493748492482</v>
      </c>
      <c r="L138" s="36">
        <f t="shared" ref="L138" si="88">L133+SUM(L135:L137)</f>
        <v>4329.2312284054524</v>
      </c>
    </row>
    <row r="139" spans="2:12" x14ac:dyDescent="0.2">
      <c r="C139" s="20"/>
      <c r="D139" s="48"/>
      <c r="E139" s="35"/>
      <c r="F139" s="35"/>
      <c r="G139" s="35"/>
      <c r="H139" s="35"/>
      <c r="I139" s="35"/>
      <c r="J139" s="35"/>
      <c r="K139" s="35"/>
      <c r="L139" s="35"/>
    </row>
    <row r="140" spans="2:12" x14ac:dyDescent="0.2">
      <c r="C140" s="26" t="s">
        <v>16</v>
      </c>
      <c r="D140" s="49" t="s">
        <v>45</v>
      </c>
      <c r="E140" s="33">
        <v>-525</v>
      </c>
      <c r="F140" s="33">
        <v>-642</v>
      </c>
      <c r="G140" s="33">
        <v>-704</v>
      </c>
      <c r="H140" s="37">
        <f>-H20</f>
        <v>-813.48765682548844</v>
      </c>
      <c r="I140" s="37">
        <f>-I20</f>
        <v>-901.9308101218902</v>
      </c>
      <c r="J140" s="37">
        <f>-J20</f>
        <v>-989.72115263066928</v>
      </c>
      <c r="K140" s="37">
        <f>-K20</f>
        <v>-1110.4729930925935</v>
      </c>
      <c r="L140" s="37">
        <f>-L20</f>
        <v>-1198.2938743283551</v>
      </c>
    </row>
    <row r="141" spans="2:12" x14ac:dyDescent="0.2">
      <c r="C141" s="26"/>
      <c r="D141" s="49"/>
      <c r="E141" s="33"/>
      <c r="F141" s="33"/>
      <c r="G141" s="33"/>
      <c r="H141" s="37"/>
      <c r="I141" s="37"/>
      <c r="J141" s="37"/>
      <c r="K141" s="37"/>
      <c r="L141" s="37"/>
    </row>
    <row r="142" spans="2:12" ht="17" thickBot="1" x14ac:dyDescent="0.25">
      <c r="C142" s="128" t="s">
        <v>15</v>
      </c>
      <c r="D142" s="129" t="s">
        <v>45</v>
      </c>
      <c r="E142" s="130">
        <f>E138+E140</f>
        <v>1612</v>
      </c>
      <c r="F142" s="130">
        <f t="shared" ref="F142:G142" si="89">F138+F140</f>
        <v>1414</v>
      </c>
      <c r="G142" s="130">
        <f t="shared" si="89"/>
        <v>1880</v>
      </c>
      <c r="H142" s="130">
        <f t="shared" ref="H142" si="90">H138+H140</f>
        <v>2125.5043912021638</v>
      </c>
      <c r="I142" s="130">
        <f t="shared" ref="I142" si="91">I138+I140</f>
        <v>2356.5912542000069</v>
      </c>
      <c r="J142" s="130">
        <f t="shared" ref="J142" si="92">J138+J140</f>
        <v>2585.9724340395701</v>
      </c>
      <c r="K142" s="130">
        <f t="shared" ref="K142" si="93">K138+K140</f>
        <v>2901.4763817566545</v>
      </c>
      <c r="L142" s="130">
        <f t="shared" ref="L142" si="94">L138+L140</f>
        <v>3130.9373540770976</v>
      </c>
    </row>
    <row r="143" spans="2:12" ht="17" thickTop="1" x14ac:dyDescent="0.2"/>
    <row r="144" spans="2:12" x14ac:dyDescent="0.2">
      <c r="B144" s="1"/>
      <c r="C144" s="1"/>
      <c r="D144" s="3"/>
      <c r="E144" s="10"/>
      <c r="F144" s="10" t="s">
        <v>4</v>
      </c>
      <c r="G144" s="12"/>
      <c r="H144" s="13"/>
      <c r="I144" s="14"/>
      <c r="J144" s="14" t="s">
        <v>5</v>
      </c>
      <c r="K144" s="14"/>
      <c r="L144" s="14"/>
    </row>
    <row r="145" spans="2:12" x14ac:dyDescent="0.2">
      <c r="B145" s="2" t="s">
        <v>7</v>
      </c>
      <c r="C145" s="1"/>
      <c r="D145" s="47" t="s">
        <v>3</v>
      </c>
      <c r="E145" s="45">
        <f>EOMONTH(F145,-12)</f>
        <v>45199</v>
      </c>
      <c r="F145" s="45">
        <f>EOMONTH(G145,-12)</f>
        <v>45565</v>
      </c>
      <c r="G145" s="46">
        <f>$E$3</f>
        <v>45930</v>
      </c>
      <c r="H145" s="45">
        <f>EOMONTH(G145,12)</f>
        <v>46295</v>
      </c>
      <c r="I145" s="45">
        <f t="shared" ref="I145:L145" si="95">EOMONTH(H145,12)</f>
        <v>46660</v>
      </c>
      <c r="J145" s="45">
        <f t="shared" si="95"/>
        <v>47026</v>
      </c>
      <c r="K145" s="45">
        <f t="shared" si="95"/>
        <v>47391</v>
      </c>
      <c r="L145" s="45">
        <f t="shared" si="95"/>
        <v>47756</v>
      </c>
    </row>
    <row r="146" spans="2:12" x14ac:dyDescent="0.2">
      <c r="B146" s="30" t="s">
        <v>29</v>
      </c>
      <c r="C146" s="29"/>
      <c r="D146" s="29"/>
      <c r="E146" s="29"/>
      <c r="F146" s="29"/>
      <c r="G146" s="29"/>
      <c r="H146" s="29"/>
      <c r="I146" s="29"/>
      <c r="J146" s="29"/>
      <c r="K146" s="29"/>
      <c r="L146" s="29"/>
    </row>
    <row r="147" spans="2:12" x14ac:dyDescent="0.2">
      <c r="C147" s="32" t="s">
        <v>31</v>
      </c>
    </row>
    <row r="148" spans="2:12" x14ac:dyDescent="0.2">
      <c r="C148" s="26" t="s">
        <v>74</v>
      </c>
      <c r="D148" s="49" t="s">
        <v>45</v>
      </c>
      <c r="E148" s="33">
        <v>6105</v>
      </c>
      <c r="F148" s="33">
        <v>6899</v>
      </c>
      <c r="G148" s="33">
        <v>7687</v>
      </c>
      <c r="H148" s="42">
        <f>$G$148</f>
        <v>7687</v>
      </c>
      <c r="I148" s="42">
        <f t="shared" ref="I148:L148" si="96">$G$148</f>
        <v>7687</v>
      </c>
      <c r="J148" s="42">
        <f t="shared" si="96"/>
        <v>7687</v>
      </c>
      <c r="K148" s="42">
        <f t="shared" si="96"/>
        <v>7687</v>
      </c>
      <c r="L148" s="42">
        <f t="shared" si="96"/>
        <v>7687</v>
      </c>
    </row>
    <row r="149" spans="2:12" x14ac:dyDescent="0.2">
      <c r="C149" s="26" t="s">
        <v>73</v>
      </c>
      <c r="D149" s="49" t="s">
        <v>45</v>
      </c>
      <c r="E149" s="33">
        <v>3796</v>
      </c>
      <c r="F149" s="33">
        <v>4850</v>
      </c>
      <c r="G149" s="33">
        <v>5664</v>
      </c>
      <c r="H149" s="37">
        <f>H92</f>
        <v>5913.0378237239474</v>
      </c>
      <c r="I149" s="37">
        <f>I92</f>
        <v>6215.2241391852885</v>
      </c>
      <c r="J149" s="37">
        <f>J92</f>
        <v>6566.1609345007046</v>
      </c>
      <c r="K149" s="37">
        <f>K92</f>
        <v>6963.2912594883928</v>
      </c>
      <c r="L149" s="37">
        <f>L92</f>
        <v>7403.9901560508297</v>
      </c>
    </row>
    <row r="150" spans="2:12" x14ac:dyDescent="0.2">
      <c r="C150" s="26" t="s">
        <v>697</v>
      </c>
      <c r="D150" s="49" t="s">
        <v>45</v>
      </c>
      <c r="E150" s="33">
        <v>1166</v>
      </c>
      <c r="F150" s="33">
        <v>1411</v>
      </c>
      <c r="G150" s="33">
        <v>1569</v>
      </c>
      <c r="H150" s="37">
        <f>H87</f>
        <v>1670.0789109768257</v>
      </c>
      <c r="I150" s="37">
        <f>I87</f>
        <v>1795.6869597885202</v>
      </c>
      <c r="J150" s="37">
        <f>J87</f>
        <v>1940.9575755112451</v>
      </c>
      <c r="K150" s="37">
        <f>K87</f>
        <v>2103.0669737246203</v>
      </c>
      <c r="L150" s="37">
        <f>L87</f>
        <v>2279.7590309151865</v>
      </c>
    </row>
    <row r="151" spans="2:12" x14ac:dyDescent="0.2">
      <c r="C151" s="26" t="s">
        <v>698</v>
      </c>
      <c r="D151" s="49" t="s">
        <v>45</v>
      </c>
      <c r="E151" s="33">
        <v>992</v>
      </c>
      <c r="F151" s="33">
        <v>1144</v>
      </c>
      <c r="G151" s="33">
        <v>1377</v>
      </c>
      <c r="H151" s="37">
        <f>H95</f>
        <v>1416.2421994972062</v>
      </c>
      <c r="I151" s="37">
        <f>I95</f>
        <v>1456.7933856221125</v>
      </c>
      <c r="J151" s="37">
        <f>J95</f>
        <v>1498.5874340384112</v>
      </c>
      <c r="K151" s="37">
        <f>K95</f>
        <v>1541.5731531187239</v>
      </c>
      <c r="L151" s="37">
        <f>L95</f>
        <v>1585.7117199797326</v>
      </c>
    </row>
    <row r="152" spans="2:12" x14ac:dyDescent="0.2">
      <c r="C152" s="26" t="s">
        <v>27</v>
      </c>
      <c r="D152" s="49" t="s">
        <v>45</v>
      </c>
      <c r="E152" s="33">
        <v>2473</v>
      </c>
      <c r="F152" s="33">
        <v>2552</v>
      </c>
      <c r="G152" s="33">
        <v>2625</v>
      </c>
      <c r="H152" s="37">
        <f>G152*(1+H32)</f>
        <v>2695.8749999999995</v>
      </c>
      <c r="I152" s="37">
        <f>H152*(1+I32)</f>
        <v>2765.9677499999998</v>
      </c>
      <c r="J152" s="37">
        <f>I152*(1+J32)</f>
        <v>2835.1169437499993</v>
      </c>
      <c r="K152" s="37">
        <f>J152*(1+K32)</f>
        <v>2905.9948673437489</v>
      </c>
      <c r="L152" s="37">
        <f>K152*(1+L32)</f>
        <v>2978.6447390273424</v>
      </c>
    </row>
    <row r="153" spans="2:12" x14ac:dyDescent="0.2">
      <c r="C153" s="43" t="s">
        <v>22</v>
      </c>
      <c r="D153" s="50" t="s">
        <v>45</v>
      </c>
      <c r="E153" s="36">
        <f>SUM(E148:E152)</f>
        <v>14532</v>
      </c>
      <c r="F153" s="36">
        <f>SUM(F148:F152)</f>
        <v>16856</v>
      </c>
      <c r="G153" s="36">
        <f>SUM(G148:G152)</f>
        <v>18922</v>
      </c>
      <c r="H153" s="36">
        <f t="shared" ref="H153:L153" si="97">SUM(H148:H152)</f>
        <v>19382.233934197979</v>
      </c>
      <c r="I153" s="36">
        <f t="shared" si="97"/>
        <v>19920.672234595921</v>
      </c>
      <c r="J153" s="36">
        <f t="shared" si="97"/>
        <v>20527.822887800361</v>
      </c>
      <c r="K153" s="36">
        <f t="shared" si="97"/>
        <v>21200.926253675487</v>
      </c>
      <c r="L153" s="36">
        <f t="shared" si="97"/>
        <v>21935.10564597309</v>
      </c>
    </row>
    <row r="154" spans="2:12" x14ac:dyDescent="0.2">
      <c r="C154" s="32"/>
      <c r="D154" s="49"/>
    </row>
    <row r="155" spans="2:12" x14ac:dyDescent="0.2">
      <c r="C155" s="32" t="s">
        <v>20</v>
      </c>
      <c r="D155" s="49"/>
    </row>
    <row r="156" spans="2:12" x14ac:dyDescent="0.2">
      <c r="C156" s="17" t="s">
        <v>24</v>
      </c>
      <c r="D156" s="49" t="s">
        <v>45</v>
      </c>
      <c r="E156" s="33">
        <v>692</v>
      </c>
      <c r="F156" s="33">
        <v>734</v>
      </c>
      <c r="G156" s="33">
        <v>820</v>
      </c>
      <c r="H156" s="37">
        <f>-(H128*H25)/(H23-G23)</f>
        <v>860.41431306604147</v>
      </c>
      <c r="I156" s="37">
        <f>-(I128*I25)/(I23-H23)</f>
        <v>920.18217789784478</v>
      </c>
      <c r="J156" s="37">
        <f>-(J128*J25)/(J23-I23)</f>
        <v>978.17977258561621</v>
      </c>
      <c r="K156" s="37">
        <f>-(K128*K25)/(K23-J23)</f>
        <v>1042.0822524945913</v>
      </c>
      <c r="L156" s="37">
        <f>-(L128*L25)/(L23-K23)</f>
        <v>1110.8596811592345</v>
      </c>
    </row>
    <row r="157" spans="2:12" x14ac:dyDescent="0.2">
      <c r="C157" s="17" t="s">
        <v>35</v>
      </c>
      <c r="D157" s="49" t="s">
        <v>45</v>
      </c>
      <c r="E157" s="33">
        <v>5094</v>
      </c>
      <c r="F157" s="33">
        <v>5686</v>
      </c>
      <c r="G157" s="33">
        <v>6350</v>
      </c>
      <c r="H157" s="37">
        <f>(H127*H24)/(H23-G23)</f>
        <v>6766.1087892999949</v>
      </c>
      <c r="I157" s="37">
        <f>(I127*I24)/(I23-H23)</f>
        <v>7283.7161116814441</v>
      </c>
      <c r="J157" s="37">
        <f>(J127*J24)/(J23-I23)</f>
        <v>7794.073761091473</v>
      </c>
      <c r="K157" s="37">
        <f>(K127*K24)/(K23-J23)</f>
        <v>8358.5995912886665</v>
      </c>
      <c r="L157" s="37">
        <f>(L127*L24)/(L23-K23)</f>
        <v>8910.2671643137201</v>
      </c>
    </row>
    <row r="158" spans="2:12" x14ac:dyDescent="0.2">
      <c r="C158" s="17" t="s">
        <v>49</v>
      </c>
      <c r="D158" s="49" t="s">
        <v>45</v>
      </c>
      <c r="E158" s="33">
        <v>1029</v>
      </c>
      <c r="F158" s="33">
        <v>623</v>
      </c>
      <c r="G158" s="33">
        <v>575</v>
      </c>
      <c r="H158" s="37">
        <f>H216</f>
        <v>839.5464566618416</v>
      </c>
      <c r="I158" s="37">
        <f t="shared" ref="I158:L158" si="98">I216</f>
        <v>1121.4501729389913</v>
      </c>
      <c r="J158" s="37">
        <f t="shared" si="98"/>
        <v>1379.6590804821526</v>
      </c>
      <c r="K158" s="37">
        <f t="shared" si="98"/>
        <v>1635.6533600169187</v>
      </c>
      <c r="L158" s="37">
        <f t="shared" si="98"/>
        <v>1951.5431391181528</v>
      </c>
    </row>
    <row r="159" spans="2:12" x14ac:dyDescent="0.2">
      <c r="C159" s="17" t="s">
        <v>26</v>
      </c>
      <c r="D159" s="49" t="s">
        <v>45</v>
      </c>
      <c r="E159" s="33">
        <v>136</v>
      </c>
      <c r="F159" s="33">
        <v>450</v>
      </c>
      <c r="G159" s="33">
        <v>48</v>
      </c>
      <c r="H159" s="37">
        <f>H127*H28</f>
        <v>254.4732941032382</v>
      </c>
      <c r="I159" s="37">
        <f>I127*I28</f>
        <v>273.94050110213595</v>
      </c>
      <c r="J159" s="37">
        <f>J127*J28</f>
        <v>293.93815768259185</v>
      </c>
      <c r="K159" s="37">
        <f>K127*K28</f>
        <v>314.36685964153207</v>
      </c>
      <c r="L159" s="37">
        <f>L127*L28</f>
        <v>335.11507237787322</v>
      </c>
    </row>
    <row r="160" spans="2:12" x14ac:dyDescent="0.2">
      <c r="C160" s="43" t="s">
        <v>21</v>
      </c>
      <c r="D160" s="50" t="s">
        <v>45</v>
      </c>
      <c r="E160" s="36">
        <f>SUM(E156:E159)</f>
        <v>6951</v>
      </c>
      <c r="F160" s="36">
        <f>SUM(F156:F159)</f>
        <v>7493</v>
      </c>
      <c r="G160" s="36">
        <f>SUM(G156:G159)</f>
        <v>7793</v>
      </c>
      <c r="H160" s="36">
        <f>SUM(H156:H159)</f>
        <v>8720.5428531311154</v>
      </c>
      <c r="I160" s="36">
        <f t="shared" ref="I160:L160" si="99">SUM(I156:I159)</f>
        <v>9599.2889636204145</v>
      </c>
      <c r="J160" s="36">
        <f t="shared" si="99"/>
        <v>10445.850771841835</v>
      </c>
      <c r="K160" s="36">
        <f t="shared" si="99"/>
        <v>11350.702063441708</v>
      </c>
      <c r="L160" s="36">
        <f t="shared" si="99"/>
        <v>12307.78505696898</v>
      </c>
    </row>
    <row r="161" spans="3:12" x14ac:dyDescent="0.2">
      <c r="C161" s="32"/>
      <c r="D161" s="49"/>
    </row>
    <row r="162" spans="3:12" x14ac:dyDescent="0.2">
      <c r="C162" s="32" t="s">
        <v>23</v>
      </c>
      <c r="D162" s="48" t="s">
        <v>45</v>
      </c>
      <c r="E162" s="35">
        <f>E153+E160</f>
        <v>21483</v>
      </c>
      <c r="F162" s="35">
        <f t="shared" ref="F162:L162" si="100">F153+F160</f>
        <v>24349</v>
      </c>
      <c r="G162" s="35">
        <f t="shared" si="100"/>
        <v>26715</v>
      </c>
      <c r="H162" s="35">
        <f t="shared" si="100"/>
        <v>28102.776787329094</v>
      </c>
      <c r="I162" s="35">
        <f t="shared" si="100"/>
        <v>29519.961198216333</v>
      </c>
      <c r="J162" s="35">
        <f t="shared" si="100"/>
        <v>30973.673659642198</v>
      </c>
      <c r="K162" s="35">
        <f t="shared" si="100"/>
        <v>32551.628317117196</v>
      </c>
      <c r="L162" s="35">
        <f t="shared" si="100"/>
        <v>34242.890702942066</v>
      </c>
    </row>
    <row r="163" spans="3:12" x14ac:dyDescent="0.2">
      <c r="C163" s="41"/>
      <c r="D163" s="49"/>
      <c r="E163" s="42"/>
      <c r="F163" s="42"/>
      <c r="G163" s="42"/>
    </row>
    <row r="164" spans="3:12" x14ac:dyDescent="0.2">
      <c r="C164" s="32" t="s">
        <v>30</v>
      </c>
      <c r="D164" s="49"/>
      <c r="E164" s="42"/>
      <c r="F164" s="42"/>
      <c r="G164" s="42"/>
    </row>
    <row r="165" spans="3:12" x14ac:dyDescent="0.2">
      <c r="C165" s="26" t="s">
        <v>32</v>
      </c>
      <c r="D165" s="49" t="s">
        <v>45</v>
      </c>
      <c r="E165" s="33">
        <v>-1327</v>
      </c>
      <c r="F165" s="33">
        <v>-822</v>
      </c>
      <c r="G165" s="33">
        <v>-1043</v>
      </c>
      <c r="H165" s="42">
        <f>-H51</f>
        <v>-1043</v>
      </c>
      <c r="I165" s="42">
        <f>-I51</f>
        <v>-1043</v>
      </c>
      <c r="J165" s="42">
        <f>-J51</f>
        <v>-1043</v>
      </c>
      <c r="K165" s="42">
        <f>-K51</f>
        <v>-1043</v>
      </c>
      <c r="L165" s="42">
        <f>-L51</f>
        <v>-1043</v>
      </c>
    </row>
    <row r="166" spans="3:12" x14ac:dyDescent="0.2">
      <c r="C166" s="26" t="s">
        <v>80</v>
      </c>
      <c r="D166" s="49" t="s">
        <v>45</v>
      </c>
      <c r="E166" s="33">
        <v>-237</v>
      </c>
      <c r="F166" s="33">
        <v>-273</v>
      </c>
      <c r="G166" s="33">
        <v>-338</v>
      </c>
      <c r="H166" s="22">
        <f>-H97</f>
        <v>-334.25040360185318</v>
      </c>
      <c r="I166" s="22">
        <f t="shared" ref="I166:K166" si="101">-I97</f>
        <v>-340.39987629320706</v>
      </c>
      <c r="J166" s="22">
        <f t="shared" si="101"/>
        <v>-346.7666488247138</v>
      </c>
      <c r="K166" s="22">
        <f t="shared" si="101"/>
        <v>-353.33845867525264</v>
      </c>
      <c r="L166" s="22">
        <f>-L97</f>
        <v>-360.10572291409983</v>
      </c>
    </row>
    <row r="167" spans="3:12" x14ac:dyDescent="0.2">
      <c r="C167" s="26" t="s">
        <v>36</v>
      </c>
      <c r="D167" s="49" t="s">
        <v>45</v>
      </c>
      <c r="E167" s="33">
        <v>-7166</v>
      </c>
      <c r="F167" s="33">
        <v>-8172</v>
      </c>
      <c r="G167" s="33">
        <v>-8639</v>
      </c>
      <c r="H167" s="22">
        <f>(H128*H26)/(H23-G23)</f>
        <v>-9181.307009333188</v>
      </c>
      <c r="I167" s="22">
        <f>(I128*I26)/(I23-H23)</f>
        <v>-9819.0777994978489</v>
      </c>
      <c r="J167" s="22">
        <f>(J128*J26)/(J23-I23)</f>
        <v>-10437.95839521201</v>
      </c>
      <c r="K167" s="22">
        <f>(K128*K26)/(K23-J23)</f>
        <v>-11119.848826127019</v>
      </c>
      <c r="L167" s="22">
        <f>(L128*L26)/(L23-K23)</f>
        <v>-11853.758848651403</v>
      </c>
    </row>
    <row r="168" spans="3:12" x14ac:dyDescent="0.2">
      <c r="C168" s="26" t="s">
        <v>33</v>
      </c>
      <c r="D168" s="49" t="s">
        <v>45</v>
      </c>
      <c r="E168" s="33">
        <v>-590</v>
      </c>
      <c r="F168" s="33">
        <v>-805</v>
      </c>
      <c r="G168" s="33">
        <v>-645</v>
      </c>
      <c r="H168" s="22">
        <f>SUM(H128:H131)*H29</f>
        <v>-805.85871388137127</v>
      </c>
      <c r="I168" s="22">
        <f>SUM(I128:I131)*I29</f>
        <v>-866.30983753540079</v>
      </c>
      <c r="J168" s="22">
        <f>SUM(J128:J131)*J29</f>
        <v>-928.60542518960358</v>
      </c>
      <c r="K168" s="22">
        <f>SUM(K128:K131)*K29</f>
        <v>-990.28377025719192</v>
      </c>
      <c r="L168" s="22">
        <f>SUM(L128:L131)*L29</f>
        <v>-1055.0986178205953</v>
      </c>
    </row>
    <row r="169" spans="3:12" x14ac:dyDescent="0.2">
      <c r="C169" s="43" t="s">
        <v>34</v>
      </c>
      <c r="D169" s="50" t="s">
        <v>45</v>
      </c>
      <c r="E169" s="36">
        <f>SUM(E165:E168)</f>
        <v>-9320</v>
      </c>
      <c r="F169" s="36">
        <f>SUM(F165:F168)</f>
        <v>-10072</v>
      </c>
      <c r="G169" s="36">
        <f>SUM(G165:G168)</f>
        <v>-10665</v>
      </c>
      <c r="H169" s="36">
        <f t="shared" ref="H169:L169" si="102">SUM(H165:H168)</f>
        <v>-11364.416126816412</v>
      </c>
      <c r="I169" s="36">
        <f t="shared" si="102"/>
        <v>-12068.787513326455</v>
      </c>
      <c r="J169" s="36">
        <f t="shared" si="102"/>
        <v>-12756.330469226328</v>
      </c>
      <c r="K169" s="36">
        <f t="shared" si="102"/>
        <v>-13506.471055059465</v>
      </c>
      <c r="L169" s="36">
        <f t="shared" si="102"/>
        <v>-14311.963189386099</v>
      </c>
    </row>
    <row r="170" spans="3:12" x14ac:dyDescent="0.2">
      <c r="C170" s="41"/>
      <c r="D170" s="49"/>
      <c r="E170" s="42"/>
      <c r="F170" s="42"/>
      <c r="G170" s="42"/>
    </row>
    <row r="171" spans="3:12" x14ac:dyDescent="0.2">
      <c r="C171" s="32" t="s">
        <v>37</v>
      </c>
      <c r="D171" s="49"/>
      <c r="E171" s="42"/>
      <c r="F171" s="42"/>
      <c r="G171" s="42"/>
    </row>
    <row r="172" spans="3:12" x14ac:dyDescent="0.2">
      <c r="C172" s="26" t="s">
        <v>38</v>
      </c>
      <c r="D172" s="49" t="s">
        <v>45</v>
      </c>
      <c r="E172" s="33">
        <v>-2787</v>
      </c>
      <c r="F172" s="33">
        <v>-3774</v>
      </c>
      <c r="G172" s="33">
        <v>-4383</v>
      </c>
      <c r="H172" s="37">
        <f>-H57-H63</f>
        <v>-4383</v>
      </c>
      <c r="I172" s="37">
        <f>-I57-I63</f>
        <v>-4383</v>
      </c>
      <c r="J172" s="37">
        <f>-J57-J63</f>
        <v>-4383</v>
      </c>
      <c r="K172" s="37">
        <f>-K57-K63</f>
        <v>-4383</v>
      </c>
      <c r="L172" s="37">
        <f>-L57-L63</f>
        <v>-4383</v>
      </c>
    </row>
    <row r="173" spans="3:12" x14ac:dyDescent="0.2">
      <c r="C173" s="26" t="s">
        <v>79</v>
      </c>
      <c r="D173" s="49" t="s">
        <v>45</v>
      </c>
      <c r="E173" s="33">
        <v>-916</v>
      </c>
      <c r="F173" s="33">
        <v>-1042</v>
      </c>
      <c r="G173" s="33">
        <v>-1228</v>
      </c>
      <c r="H173" s="37">
        <f>-H99</f>
        <v>-1259.9693766155112</v>
      </c>
      <c r="I173" s="37">
        <f t="shared" ref="I173:L173" si="103">-I99</f>
        <v>-1283.1500435345215</v>
      </c>
      <c r="J173" s="37">
        <f t="shared" si="103"/>
        <v>-1307.1498303145272</v>
      </c>
      <c r="K173" s="37">
        <f t="shared" si="103"/>
        <v>-1331.9225129243055</v>
      </c>
      <c r="L173" s="37">
        <f t="shared" si="103"/>
        <v>-1357.4319681486868</v>
      </c>
    </row>
    <row r="174" spans="3:12" x14ac:dyDescent="0.2">
      <c r="C174" s="26" t="s">
        <v>78</v>
      </c>
      <c r="D174" s="49" t="s">
        <v>45</v>
      </c>
      <c r="E174" s="33">
        <v>-2160</v>
      </c>
      <c r="F174" s="33">
        <v>-2555</v>
      </c>
      <c r="G174" s="33">
        <v>-2679</v>
      </c>
      <c r="H174" s="37">
        <f>H31*SUM(H128:H131)</f>
        <v>-2910.290405656739</v>
      </c>
      <c r="I174" s="37">
        <f>I31*SUM(I128:I131)</f>
        <v>-3128.6045122749242</v>
      </c>
      <c r="J174" s="37">
        <f>J31*SUM(J128:J131)</f>
        <v>-3353.579744212992</v>
      </c>
      <c r="K174" s="37">
        <f>K31*SUM(K128:K131)</f>
        <v>-3576.3258568937467</v>
      </c>
      <c r="L174" s="37">
        <f>L31*SUM(L128:L131)</f>
        <v>-3810.3991823521906</v>
      </c>
    </row>
    <row r="175" spans="3:12" x14ac:dyDescent="0.2">
      <c r="C175" s="43" t="s">
        <v>39</v>
      </c>
      <c r="D175" s="50" t="s">
        <v>45</v>
      </c>
      <c r="E175" s="36">
        <f>SUM(E172:E174)</f>
        <v>-5863</v>
      </c>
      <c r="F175" s="36">
        <f>SUM(F172:F174)</f>
        <v>-7371</v>
      </c>
      <c r="G175" s="36">
        <f>SUM(G172:G174)</f>
        <v>-8290</v>
      </c>
      <c r="H175" s="36">
        <f t="shared" ref="H175:L175" si="104">SUM(H172:H174)</f>
        <v>-8553.259782272251</v>
      </c>
      <c r="I175" s="36">
        <f t="shared" si="104"/>
        <v>-8794.7545558094462</v>
      </c>
      <c r="J175" s="36">
        <f t="shared" si="104"/>
        <v>-9043.7295745275187</v>
      </c>
      <c r="K175" s="36">
        <f t="shared" si="104"/>
        <v>-9291.2483698180531</v>
      </c>
      <c r="L175" s="36">
        <f t="shared" si="104"/>
        <v>-9550.8311505008769</v>
      </c>
    </row>
    <row r="176" spans="3:12" x14ac:dyDescent="0.2">
      <c r="C176" s="41"/>
      <c r="D176" s="49"/>
      <c r="E176" s="42"/>
      <c r="F176" s="42"/>
      <c r="G176" s="42"/>
    </row>
    <row r="177" spans="2:12" x14ac:dyDescent="0.2">
      <c r="C177" s="32" t="s">
        <v>40</v>
      </c>
      <c r="D177" s="48" t="s">
        <v>45</v>
      </c>
      <c r="E177" s="35">
        <f>E169+E175</f>
        <v>-15183</v>
      </c>
      <c r="F177" s="35">
        <f>F169+F175</f>
        <v>-17443</v>
      </c>
      <c r="G177" s="35">
        <f>G169+G175</f>
        <v>-18955</v>
      </c>
      <c r="H177" s="35">
        <f t="shared" ref="H177:L177" si="105">H169+H175</f>
        <v>-19917.675909088663</v>
      </c>
      <c r="I177" s="35">
        <f t="shared" si="105"/>
        <v>-20863.542069135903</v>
      </c>
      <c r="J177" s="35">
        <f t="shared" si="105"/>
        <v>-21800.060043753845</v>
      </c>
      <c r="K177" s="35">
        <f t="shared" si="105"/>
        <v>-22797.719424877519</v>
      </c>
      <c r="L177" s="35">
        <f t="shared" si="105"/>
        <v>-23862.794339886976</v>
      </c>
    </row>
    <row r="178" spans="2:12" x14ac:dyDescent="0.2">
      <c r="C178" s="41"/>
      <c r="D178" s="49"/>
      <c r="E178" s="42"/>
      <c r="F178" s="42"/>
      <c r="G178" s="42"/>
    </row>
    <row r="179" spans="2:12" ht="17" thickBot="1" x14ac:dyDescent="0.25">
      <c r="C179" s="131" t="s">
        <v>41</v>
      </c>
      <c r="D179" s="129" t="s">
        <v>45</v>
      </c>
      <c r="E179" s="130">
        <f>E162+E177</f>
        <v>6300</v>
      </c>
      <c r="F179" s="130">
        <f>F162+F177</f>
        <v>6906</v>
      </c>
      <c r="G179" s="130">
        <f>G162+G177</f>
        <v>7760</v>
      </c>
      <c r="H179" s="130">
        <f t="shared" ref="H179:L179" si="106">H162+H177</f>
        <v>8185.1008782404315</v>
      </c>
      <c r="I179" s="130">
        <f t="shared" si="106"/>
        <v>8656.4191290804301</v>
      </c>
      <c r="J179" s="130">
        <f t="shared" si="106"/>
        <v>9173.6136158883528</v>
      </c>
      <c r="K179" s="130">
        <f t="shared" si="106"/>
        <v>9753.9088922396768</v>
      </c>
      <c r="L179" s="130">
        <f t="shared" si="106"/>
        <v>10380.09636305509</v>
      </c>
    </row>
    <row r="180" spans="2:12" ht="17" thickTop="1" x14ac:dyDescent="0.2">
      <c r="C180" s="41"/>
      <c r="D180" s="28"/>
      <c r="E180" s="28"/>
      <c r="F180" s="28"/>
      <c r="G180" s="28"/>
    </row>
    <row r="181" spans="2:12" x14ac:dyDescent="0.2">
      <c r="B181" s="40" t="s">
        <v>28</v>
      </c>
      <c r="C181" s="39"/>
      <c r="D181" s="38"/>
      <c r="E181" s="38"/>
      <c r="F181" s="38"/>
      <c r="G181" s="38"/>
      <c r="H181" s="38"/>
      <c r="I181" s="38"/>
      <c r="J181" s="38"/>
      <c r="K181" s="38"/>
      <c r="L181" s="38"/>
    </row>
    <row r="182" spans="2:12" x14ac:dyDescent="0.2">
      <c r="C182" s="26" t="s">
        <v>754</v>
      </c>
      <c r="D182" s="49" t="s">
        <v>45</v>
      </c>
      <c r="E182" s="33">
        <v>6263</v>
      </c>
      <c r="F182" s="33">
        <v>6829</v>
      </c>
      <c r="G182" s="33">
        <v>7653</v>
      </c>
      <c r="H182" s="37">
        <f>G182+H206+H207+H190</f>
        <v>8078.1008782404324</v>
      </c>
      <c r="I182" s="37">
        <f t="shared" ref="I182:L182" si="107">H182+I206+I207+I190</f>
        <v>8549.4191290804338</v>
      </c>
      <c r="J182" s="37">
        <f t="shared" si="107"/>
        <v>9066.6136158883473</v>
      </c>
      <c r="K182" s="37">
        <f t="shared" si="107"/>
        <v>9646.9088922396786</v>
      </c>
      <c r="L182" s="37">
        <f t="shared" si="107"/>
        <v>10273.096363055098</v>
      </c>
    </row>
    <row r="183" spans="2:12" x14ac:dyDescent="0.2">
      <c r="C183" s="17" t="s">
        <v>42</v>
      </c>
      <c r="D183" s="49" t="s">
        <v>45</v>
      </c>
      <c r="E183" s="33">
        <v>37</v>
      </c>
      <c r="F183" s="33">
        <v>77</v>
      </c>
      <c r="G183" s="33">
        <v>107</v>
      </c>
      <c r="H183" s="42">
        <f>$G$183</f>
        <v>107</v>
      </c>
      <c r="I183" s="42">
        <f t="shared" ref="I183:L183" si="108">$G$183</f>
        <v>107</v>
      </c>
      <c r="J183" s="42">
        <f t="shared" si="108"/>
        <v>107</v>
      </c>
      <c r="K183" s="42">
        <f t="shared" si="108"/>
        <v>107</v>
      </c>
      <c r="L183" s="42">
        <f t="shared" si="108"/>
        <v>107</v>
      </c>
    </row>
    <row r="184" spans="2:12" x14ac:dyDescent="0.2">
      <c r="C184" s="44"/>
      <c r="D184" s="49"/>
      <c r="E184" s="33"/>
      <c r="F184" s="33"/>
      <c r="G184" s="33"/>
      <c r="H184" s="42"/>
      <c r="I184" s="42"/>
      <c r="J184" s="42"/>
      <c r="K184" s="42"/>
      <c r="L184" s="42"/>
    </row>
    <row r="185" spans="2:12" ht="17" thickBot="1" x14ac:dyDescent="0.25">
      <c r="C185" s="131" t="s">
        <v>43</v>
      </c>
      <c r="D185" s="129" t="s">
        <v>45</v>
      </c>
      <c r="E185" s="130">
        <f>SUM(E182:E183)</f>
        <v>6300</v>
      </c>
      <c r="F185" s="130">
        <f>SUM(F182:F183)</f>
        <v>6906</v>
      </c>
      <c r="G185" s="130">
        <f>SUM(G182:G183)</f>
        <v>7760</v>
      </c>
      <c r="H185" s="130">
        <f t="shared" ref="H185:L185" si="109">SUM(H182:H183)</f>
        <v>8185.1008782404324</v>
      </c>
      <c r="I185" s="130">
        <f t="shared" si="109"/>
        <v>8656.4191290804338</v>
      </c>
      <c r="J185" s="130">
        <f t="shared" si="109"/>
        <v>9173.6136158883473</v>
      </c>
      <c r="K185" s="130">
        <f t="shared" si="109"/>
        <v>9753.9088922396786</v>
      </c>
      <c r="L185" s="130">
        <f t="shared" si="109"/>
        <v>10380.096363055098</v>
      </c>
    </row>
    <row r="186" spans="2:12" ht="17" thickTop="1" x14ac:dyDescent="0.2">
      <c r="C186" s="28"/>
    </row>
    <row r="187" spans="2:12" x14ac:dyDescent="0.2">
      <c r="B187" s="1"/>
      <c r="C187" s="1"/>
      <c r="D187" s="3"/>
      <c r="E187" s="10"/>
      <c r="F187" s="10" t="s">
        <v>4</v>
      </c>
      <c r="G187" s="12"/>
      <c r="H187" s="13"/>
      <c r="I187" s="14"/>
      <c r="J187" s="14" t="s">
        <v>5</v>
      </c>
      <c r="K187" s="14"/>
      <c r="L187" s="14"/>
    </row>
    <row r="188" spans="2:12" x14ac:dyDescent="0.2">
      <c r="B188" s="2" t="s">
        <v>8</v>
      </c>
      <c r="C188" s="1"/>
      <c r="D188" s="47" t="s">
        <v>3</v>
      </c>
      <c r="E188" s="45">
        <f>EOMONTH(F188,-12)</f>
        <v>45199</v>
      </c>
      <c r="F188" s="45">
        <f>EOMONTH(G188,-12)</f>
        <v>45565</v>
      </c>
      <c r="G188" s="46">
        <f>$E$3</f>
        <v>45930</v>
      </c>
      <c r="H188" s="45">
        <f>EOMONTH(G188,12)</f>
        <v>46295</v>
      </c>
      <c r="I188" s="45">
        <f t="shared" ref="I188:L188" si="110">EOMONTH(H188,12)</f>
        <v>46660</v>
      </c>
      <c r="J188" s="45">
        <f t="shared" si="110"/>
        <v>47026</v>
      </c>
      <c r="K188" s="45">
        <f t="shared" si="110"/>
        <v>47391</v>
      </c>
      <c r="L188" s="45">
        <f t="shared" si="110"/>
        <v>47756</v>
      </c>
    </row>
    <row r="189" spans="2:12" x14ac:dyDescent="0.2">
      <c r="B189" s="292" t="s">
        <v>46</v>
      </c>
      <c r="C189" s="311"/>
      <c r="D189" s="292"/>
      <c r="E189" s="292" t="s">
        <v>47</v>
      </c>
      <c r="F189" s="292" t="s">
        <v>47</v>
      </c>
      <c r="G189" s="292" t="s">
        <v>47</v>
      </c>
      <c r="H189" s="292" t="s">
        <v>47</v>
      </c>
      <c r="I189" s="292"/>
      <c r="J189" s="292"/>
      <c r="K189" s="292"/>
      <c r="L189" s="292"/>
    </row>
    <row r="190" spans="2:12" x14ac:dyDescent="0.2">
      <c r="C190" s="20" t="s">
        <v>15</v>
      </c>
      <c r="D190" s="53" t="s">
        <v>45</v>
      </c>
      <c r="E190" s="34">
        <v>1612</v>
      </c>
      <c r="F190" s="34">
        <v>1414</v>
      </c>
      <c r="G190" s="34">
        <v>1880</v>
      </c>
      <c r="H190" s="35">
        <f>H142</f>
        <v>2125.5043912021638</v>
      </c>
      <c r="I190" s="35">
        <f t="shared" ref="I190:L190" si="111">I142</f>
        <v>2356.5912542000069</v>
      </c>
      <c r="J190" s="35">
        <f t="shared" si="111"/>
        <v>2585.9724340395701</v>
      </c>
      <c r="K190" s="35">
        <f t="shared" si="111"/>
        <v>2901.4763817566545</v>
      </c>
      <c r="L190" s="35">
        <f t="shared" si="111"/>
        <v>3130.9373540770976</v>
      </c>
    </row>
    <row r="191" spans="2:12" x14ac:dyDescent="0.2">
      <c r="C191" s="17" t="s">
        <v>722</v>
      </c>
      <c r="D191" s="53" t="s">
        <v>45</v>
      </c>
      <c r="E191" s="33">
        <v>819</v>
      </c>
      <c r="F191" s="33">
        <v>924</v>
      </c>
      <c r="G191" s="33">
        <v>1040</v>
      </c>
      <c r="H191" s="37">
        <f>H79+H81</f>
        <v>1090.2851699272719</v>
      </c>
      <c r="I191" s="37">
        <f>I79+I81</f>
        <v>1146.9255956869656</v>
      </c>
      <c r="J191" s="37">
        <f>J79+J81</f>
        <v>1216.4558749382193</v>
      </c>
      <c r="K191" s="37">
        <f>K79+K81</f>
        <v>1297.040149531214</v>
      </c>
      <c r="L191" s="37">
        <f>L79+L81</f>
        <v>1387.6125871932811</v>
      </c>
    </row>
    <row r="192" spans="2:12" x14ac:dyDescent="0.2">
      <c r="C192" s="17" t="s">
        <v>721</v>
      </c>
      <c r="D192" s="53" t="s">
        <v>45</v>
      </c>
      <c r="E192" s="33">
        <v>199</v>
      </c>
      <c r="F192" s="33">
        <v>220</v>
      </c>
      <c r="G192" s="33">
        <v>262</v>
      </c>
      <c r="H192" s="37">
        <f>H107</f>
        <v>264.75780050279371</v>
      </c>
      <c r="I192" s="37">
        <f>I107</f>
        <v>269.52881387509359</v>
      </c>
      <c r="J192" s="37">
        <f>J107</f>
        <v>274.48755158370142</v>
      </c>
      <c r="K192" s="37">
        <f>K107</f>
        <v>279.62151291968718</v>
      </c>
      <c r="L192" s="37">
        <f>L107</f>
        <v>284.92080977899116</v>
      </c>
    </row>
    <row r="193" spans="2:12" x14ac:dyDescent="0.2">
      <c r="C193" s="17" t="s">
        <v>63</v>
      </c>
      <c r="D193" s="53" t="s">
        <v>45</v>
      </c>
      <c r="E193" s="33">
        <v>26</v>
      </c>
      <c r="F193" s="33">
        <v>391</v>
      </c>
      <c r="G193" s="33">
        <v>224</v>
      </c>
      <c r="H193" s="37">
        <f>G174-H174</f>
        <v>231.29040565673904</v>
      </c>
      <c r="I193" s="37">
        <f t="shared" ref="I193:L193" si="112">H174-I174</f>
        <v>218.31410661818518</v>
      </c>
      <c r="J193" s="37">
        <f t="shared" si="112"/>
        <v>224.97523193806774</v>
      </c>
      <c r="K193" s="37">
        <f t="shared" si="112"/>
        <v>222.74611268075478</v>
      </c>
      <c r="L193" s="37">
        <f t="shared" si="112"/>
        <v>234.07332545844383</v>
      </c>
    </row>
    <row r="194" spans="2:12" x14ac:dyDescent="0.2">
      <c r="C194" s="17" t="s">
        <v>51</v>
      </c>
      <c r="D194" s="53" t="s">
        <v>45</v>
      </c>
      <c r="E194" s="33">
        <v>-120</v>
      </c>
      <c r="F194" s="33">
        <v>186</v>
      </c>
      <c r="G194" s="33">
        <v>-40</v>
      </c>
      <c r="H194" s="37">
        <f>(G156-H156)+(G157-H157)+(G159-H159)-(H167-G167)-(H168-G168)</f>
        <v>40.169326745284707</v>
      </c>
      <c r="I194" s="37">
        <f t="shared" ref="I194:L194" si="113">(H156-I156)+(H157-I157)+(H159-I159)-(I167-H167)-(I168-H168)</f>
        <v>101.37951960654016</v>
      </c>
      <c r="J194" s="37">
        <f t="shared" si="113"/>
        <v>92.823282690107817</v>
      </c>
      <c r="K194" s="37">
        <f t="shared" si="113"/>
        <v>94.711763917488838</v>
      </c>
      <c r="L194" s="37">
        <f t="shared" si="113"/>
        <v>157.53165566174926</v>
      </c>
    </row>
    <row r="195" spans="2:12" x14ac:dyDescent="0.2">
      <c r="C195" s="27" t="s">
        <v>56</v>
      </c>
      <c r="D195" s="55" t="s">
        <v>45</v>
      </c>
      <c r="E195" s="36">
        <f>SUM(E190:E194)</f>
        <v>2536</v>
      </c>
      <c r="F195" s="36">
        <f>SUM(F190:F194)</f>
        <v>3135</v>
      </c>
      <c r="G195" s="36">
        <f>SUM(G190:G194)</f>
        <v>3366</v>
      </c>
      <c r="H195" s="36">
        <f t="shared" ref="H195:L195" si="114">SUM(H190:H194)</f>
        <v>3752.007094034253</v>
      </c>
      <c r="I195" s="36">
        <f t="shared" si="114"/>
        <v>4092.7392899867914</v>
      </c>
      <c r="J195" s="36">
        <f t="shared" si="114"/>
        <v>4394.7143751896656</v>
      </c>
      <c r="K195" s="36">
        <f t="shared" si="114"/>
        <v>4795.5959208057993</v>
      </c>
      <c r="L195" s="36">
        <f t="shared" si="114"/>
        <v>5195.0757321695628</v>
      </c>
    </row>
    <row r="196" spans="2:12" x14ac:dyDescent="0.2">
      <c r="D196" s="54"/>
    </row>
    <row r="197" spans="2:12" x14ac:dyDescent="0.2">
      <c r="B197" s="292" t="s">
        <v>52</v>
      </c>
      <c r="C197" s="292"/>
      <c r="D197" s="334"/>
      <c r="E197" s="335"/>
      <c r="F197" s="335"/>
      <c r="G197" s="335"/>
      <c r="H197" s="333"/>
      <c r="I197" s="333"/>
      <c r="J197" s="333"/>
      <c r="K197" s="333"/>
      <c r="L197" s="333"/>
    </row>
    <row r="198" spans="2:12" x14ac:dyDescent="0.2">
      <c r="C198" t="s">
        <v>55</v>
      </c>
      <c r="D198" s="54" t="s">
        <v>45</v>
      </c>
      <c r="E198" s="33">
        <v>-1010</v>
      </c>
      <c r="F198" s="33">
        <v>-1328</v>
      </c>
      <c r="G198" s="33">
        <v>-1317</v>
      </c>
      <c r="H198" s="37">
        <f>-H77</f>
        <v>-1440.401904628045</v>
      </c>
      <c r="I198" s="37">
        <f t="shared" ref="I198:L198" si="115">-I77</f>
        <v>-1574.7199599600003</v>
      </c>
      <c r="J198" s="37">
        <f t="shared" si="115"/>
        <v>-1712.6632859763604</v>
      </c>
      <c r="K198" s="37">
        <f t="shared" si="115"/>
        <v>-1856.2798727322775</v>
      </c>
      <c r="L198" s="37">
        <f t="shared" si="115"/>
        <v>-2005.0035409462848</v>
      </c>
    </row>
    <row r="199" spans="2:12" x14ac:dyDescent="0.2">
      <c r="C199" t="s">
        <v>54</v>
      </c>
      <c r="D199" s="54" t="s">
        <v>45</v>
      </c>
      <c r="E199" s="33">
        <v>-340</v>
      </c>
      <c r="F199" s="33">
        <v>-265</v>
      </c>
      <c r="G199" s="33">
        <v>-1187</v>
      </c>
      <c r="H199" s="70">
        <v>0</v>
      </c>
      <c r="I199" s="70">
        <v>0</v>
      </c>
      <c r="J199" s="70">
        <v>0</v>
      </c>
      <c r="K199" s="70">
        <v>0</v>
      </c>
      <c r="L199" s="70">
        <v>0</v>
      </c>
    </row>
    <row r="200" spans="2:12" x14ac:dyDescent="0.2">
      <c r="C200" t="s">
        <v>62</v>
      </c>
      <c r="D200" s="54" t="s">
        <v>45</v>
      </c>
      <c r="E200" s="33">
        <v>121</v>
      </c>
      <c r="F200" s="33">
        <v>104</v>
      </c>
      <c r="G200" s="33">
        <v>80</v>
      </c>
      <c r="H200" s="37">
        <f>G152-H152</f>
        <v>-70.874999999999545</v>
      </c>
      <c r="I200" s="37">
        <f t="shared" ref="I200:L200" si="116">H152-I152</f>
        <v>-70.092750000000251</v>
      </c>
      <c r="J200" s="37">
        <f t="shared" si="116"/>
        <v>-69.14919374999954</v>
      </c>
      <c r="K200" s="37">
        <f t="shared" si="116"/>
        <v>-70.877923593749529</v>
      </c>
      <c r="L200" s="37">
        <f t="shared" si="116"/>
        <v>-72.649871683593574</v>
      </c>
    </row>
    <row r="201" spans="2:12" x14ac:dyDescent="0.2">
      <c r="C201" s="27" t="s">
        <v>67</v>
      </c>
      <c r="D201" s="50" t="s">
        <v>45</v>
      </c>
      <c r="E201" s="36">
        <f>SUM(E198:E200)</f>
        <v>-1229</v>
      </c>
      <c r="F201" s="36">
        <f>SUM(F198:F200)</f>
        <v>-1489</v>
      </c>
      <c r="G201" s="36">
        <f>SUM(G198:G200)</f>
        <v>-2424</v>
      </c>
      <c r="H201" s="36">
        <f t="shared" ref="H201:L201" si="117">SUM(H198:H200)</f>
        <v>-1511.2769046280446</v>
      </c>
      <c r="I201" s="36">
        <f t="shared" si="117"/>
        <v>-1644.8127099600006</v>
      </c>
      <c r="J201" s="36">
        <f t="shared" si="117"/>
        <v>-1781.8124797263599</v>
      </c>
      <c r="K201" s="36">
        <f t="shared" si="117"/>
        <v>-1927.157796326027</v>
      </c>
      <c r="L201" s="36">
        <f t="shared" si="117"/>
        <v>-2077.6534126298784</v>
      </c>
    </row>
    <row r="202" spans="2:12" x14ac:dyDescent="0.2">
      <c r="D202" s="53"/>
    </row>
    <row r="203" spans="2:12" x14ac:dyDescent="0.2">
      <c r="B203" s="292" t="s">
        <v>57</v>
      </c>
      <c r="C203" s="292"/>
      <c r="D203" s="334"/>
      <c r="E203" s="335"/>
      <c r="F203" s="335"/>
      <c r="G203" s="335"/>
      <c r="H203" s="333"/>
      <c r="I203" s="333"/>
      <c r="J203" s="333"/>
      <c r="K203" s="333"/>
      <c r="L203" s="333"/>
    </row>
    <row r="204" spans="2:12" x14ac:dyDescent="0.2">
      <c r="C204" s="19" t="s">
        <v>58</v>
      </c>
      <c r="D204" s="53" t="s">
        <v>45</v>
      </c>
      <c r="E204" s="33">
        <v>-542</v>
      </c>
      <c r="F204" s="33">
        <v>-211</v>
      </c>
      <c r="G204" s="33">
        <v>530</v>
      </c>
      <c r="H204" s="37">
        <f>H49+H55+H61+H50+H56+H62</f>
        <v>0</v>
      </c>
      <c r="I204" s="37">
        <f>I49+I55+I61+I50+I56+I62</f>
        <v>0</v>
      </c>
      <c r="J204" s="37">
        <f>J49+J55+J61+J50+J56+J62</f>
        <v>0</v>
      </c>
      <c r="K204" s="37">
        <f>K49+K55+K61+K50+K56+K62</f>
        <v>0</v>
      </c>
      <c r="L204" s="37">
        <f>L49+L55+L61+L50+L56+L62</f>
        <v>0</v>
      </c>
    </row>
    <row r="205" spans="2:12" x14ac:dyDescent="0.2">
      <c r="C205" s="19" t="s">
        <v>59</v>
      </c>
      <c r="D205" s="53" t="s">
        <v>45</v>
      </c>
      <c r="E205" s="33">
        <v>-215</v>
      </c>
      <c r="F205" s="33">
        <v>-227</v>
      </c>
      <c r="G205" s="33">
        <v>-265</v>
      </c>
      <c r="H205" s="37">
        <f>-H113</f>
        <v>-275.7802197826357</v>
      </c>
      <c r="I205" s="37">
        <f t="shared" ref="I205:L205" si="118">-I113</f>
        <v>-280.74986038963596</v>
      </c>
      <c r="J205" s="37">
        <f t="shared" si="118"/>
        <v>-285.91504068848758</v>
      </c>
      <c r="K205" s="37">
        <f t="shared" si="118"/>
        <v>-291.26273953968251</v>
      </c>
      <c r="L205" s="37">
        <f t="shared" si="118"/>
        <v>-296.78265717677164</v>
      </c>
    </row>
    <row r="206" spans="2:12" x14ac:dyDescent="0.2">
      <c r="C206" s="19" t="s">
        <v>60</v>
      </c>
      <c r="D206" s="53" t="s">
        <v>45</v>
      </c>
      <c r="E206" s="33">
        <v>-803</v>
      </c>
      <c r="F206" s="33">
        <v>-973</v>
      </c>
      <c r="G206" s="33">
        <v>-1055</v>
      </c>
      <c r="H206" s="37">
        <f>-H35</f>
        <v>-1169.0274151611902</v>
      </c>
      <c r="I206" s="37">
        <f>-I35</f>
        <v>-1296.1251898100038</v>
      </c>
      <c r="J206" s="37">
        <f>-J35</f>
        <v>-1422.2848387217637</v>
      </c>
      <c r="K206" s="37">
        <f>-K35</f>
        <v>-1595.8120099661601</v>
      </c>
      <c r="L206" s="37">
        <f>-L35</f>
        <v>-1722.0155447424038</v>
      </c>
    </row>
    <row r="207" spans="2:12" x14ac:dyDescent="0.2">
      <c r="C207" s="19" t="s">
        <v>61</v>
      </c>
      <c r="D207" s="53" t="s">
        <v>45</v>
      </c>
      <c r="E207" s="33">
        <v>-1167</v>
      </c>
      <c r="F207" s="33">
        <v>-577</v>
      </c>
      <c r="G207" s="33">
        <v>-115</v>
      </c>
      <c r="H207" s="37">
        <f>-H38</f>
        <v>-531.37609780054095</v>
      </c>
      <c r="I207" s="37">
        <f>-I38</f>
        <v>-589.14781355000173</v>
      </c>
      <c r="J207" s="37">
        <f>-J38</f>
        <v>-646.49310850989252</v>
      </c>
      <c r="K207" s="37">
        <f>-K38</f>
        <v>-725.36909543916363</v>
      </c>
      <c r="L207" s="37">
        <f>-L38</f>
        <v>-782.73433851927439</v>
      </c>
    </row>
    <row r="208" spans="2:12" x14ac:dyDescent="0.2">
      <c r="C208" s="17" t="s">
        <v>64</v>
      </c>
      <c r="D208" s="53" t="s">
        <v>45</v>
      </c>
      <c r="E208" s="33">
        <v>147</v>
      </c>
      <c r="F208" s="33">
        <v>46</v>
      </c>
      <c r="G208" s="33">
        <v>-140</v>
      </c>
      <c r="H208" s="70">
        <v>0</v>
      </c>
      <c r="I208" s="70">
        <v>0</v>
      </c>
      <c r="J208" s="70">
        <v>0</v>
      </c>
      <c r="K208" s="70">
        <v>0</v>
      </c>
      <c r="L208" s="70">
        <v>0</v>
      </c>
    </row>
    <row r="209" spans="2:12" x14ac:dyDescent="0.2">
      <c r="C209" s="27" t="s">
        <v>66</v>
      </c>
      <c r="D209" s="50" t="s">
        <v>45</v>
      </c>
      <c r="E209" s="36">
        <f>SUM(E204:E208)</f>
        <v>-2580</v>
      </c>
      <c r="F209" s="36">
        <f>SUM(F204:F208)</f>
        <v>-1942</v>
      </c>
      <c r="G209" s="36">
        <f>SUM(G204:G208)</f>
        <v>-1045</v>
      </c>
      <c r="H209" s="36">
        <f t="shared" ref="H209:L209" si="119">SUM(H204:H208)</f>
        <v>-1976.1837327443668</v>
      </c>
      <c r="I209" s="36">
        <f t="shared" si="119"/>
        <v>-2166.0228637496411</v>
      </c>
      <c r="J209" s="36">
        <f t="shared" si="119"/>
        <v>-2354.6929879201439</v>
      </c>
      <c r="K209" s="36">
        <f t="shared" si="119"/>
        <v>-2612.4438449450063</v>
      </c>
      <c r="L209" s="36">
        <f t="shared" si="119"/>
        <v>-2801.5325404384498</v>
      </c>
    </row>
    <row r="210" spans="2:12" x14ac:dyDescent="0.2">
      <c r="D210" s="53"/>
    </row>
    <row r="211" spans="2:12" x14ac:dyDescent="0.2">
      <c r="C211" s="26" t="s">
        <v>70</v>
      </c>
      <c r="D211" s="53" t="s">
        <v>45</v>
      </c>
      <c r="E211" s="42">
        <f>E209+E201+E195</f>
        <v>-1273</v>
      </c>
      <c r="F211" s="42">
        <f t="shared" ref="F211:L211" si="120">F209+F201+F195</f>
        <v>-296</v>
      </c>
      <c r="G211" s="42">
        <f t="shared" si="120"/>
        <v>-103</v>
      </c>
      <c r="H211" s="42">
        <f t="shared" si="120"/>
        <v>264.5464566618416</v>
      </c>
      <c r="I211" s="42">
        <f t="shared" si="120"/>
        <v>281.90371627714967</v>
      </c>
      <c r="J211" s="42">
        <f t="shared" si="120"/>
        <v>258.20890754316133</v>
      </c>
      <c r="K211" s="42">
        <f t="shared" si="120"/>
        <v>255.99427953476606</v>
      </c>
      <c r="L211" s="42">
        <f t="shared" si="120"/>
        <v>315.88977910123413</v>
      </c>
    </row>
    <row r="212" spans="2:12" x14ac:dyDescent="0.2">
      <c r="C212" s="17" t="s">
        <v>69</v>
      </c>
      <c r="D212" s="53" t="s">
        <v>45</v>
      </c>
      <c r="E212" s="33">
        <v>1934</v>
      </c>
      <c r="F212" s="42">
        <f>E214</f>
        <v>830</v>
      </c>
      <c r="G212" s="42">
        <f>F214</f>
        <v>593</v>
      </c>
      <c r="H212" s="42">
        <f>G214</f>
        <v>512</v>
      </c>
      <c r="I212" s="42">
        <f t="shared" ref="I212:L212" si="121">H214</f>
        <v>776.5464566618416</v>
      </c>
      <c r="J212" s="42">
        <f t="shared" si="121"/>
        <v>1058.4501729389913</v>
      </c>
      <c r="K212" s="42">
        <f t="shared" si="121"/>
        <v>1316.6590804821526</v>
      </c>
      <c r="L212" s="42">
        <f t="shared" si="121"/>
        <v>1572.6533600169187</v>
      </c>
    </row>
    <row r="213" spans="2:12" x14ac:dyDescent="0.2">
      <c r="C213" s="17" t="s">
        <v>65</v>
      </c>
      <c r="D213" s="53" t="s">
        <v>45</v>
      </c>
      <c r="E213" s="33">
        <v>169</v>
      </c>
      <c r="F213" s="33">
        <v>59</v>
      </c>
      <c r="G213" s="33">
        <v>22</v>
      </c>
    </row>
    <row r="214" spans="2:12" ht="17" thickBot="1" x14ac:dyDescent="0.25">
      <c r="C214" s="128" t="s">
        <v>68</v>
      </c>
      <c r="D214" s="129" t="s">
        <v>45</v>
      </c>
      <c r="E214" s="130">
        <f>SUM(E211:E213)</f>
        <v>830</v>
      </c>
      <c r="F214" s="130">
        <f>SUM(F211:F213)</f>
        <v>593</v>
      </c>
      <c r="G214" s="130">
        <v>512</v>
      </c>
      <c r="H214" s="130">
        <f t="shared" ref="H214:L214" si="122">SUM(H211:H213)</f>
        <v>776.5464566618416</v>
      </c>
      <c r="I214" s="130">
        <f t="shared" si="122"/>
        <v>1058.4501729389913</v>
      </c>
      <c r="J214" s="130">
        <f t="shared" si="122"/>
        <v>1316.6590804821526</v>
      </c>
      <c r="K214" s="130">
        <f t="shared" si="122"/>
        <v>1572.6533600169187</v>
      </c>
      <c r="L214" s="130">
        <f t="shared" si="122"/>
        <v>1888.5431391181528</v>
      </c>
    </row>
    <row r="215" spans="2:12" ht="17" thickTop="1" x14ac:dyDescent="0.2"/>
    <row r="216" spans="2:12" x14ac:dyDescent="0.2">
      <c r="C216" s="44" t="s">
        <v>77</v>
      </c>
      <c r="D216" s="53" t="s">
        <v>45</v>
      </c>
      <c r="E216" s="42" cm="1">
        <f t="array" ref="E216">SUM(E219,-(E217:E218))</f>
        <v>1029</v>
      </c>
      <c r="F216" s="42" cm="1">
        <f t="array" ref="F216">SUM(F219,-(F217:F218))</f>
        <v>623</v>
      </c>
      <c r="G216" s="42" cm="1">
        <f t="array" ref="G216">SUM(G219,-(G217:G218))</f>
        <v>575</v>
      </c>
      <c r="H216" s="37" cm="1">
        <f t="array" ref="H216">SUM(H219,-(H217:H218))</f>
        <v>839.5464566618416</v>
      </c>
      <c r="I216" s="37" cm="1">
        <f t="array" ref="I216">SUM(I219,-(I217:I218))</f>
        <v>1121.4501729389913</v>
      </c>
      <c r="J216" s="37" cm="1">
        <f t="array" ref="J216">SUM(J219,-(J217:J218))</f>
        <v>1379.6590804821526</v>
      </c>
      <c r="K216" s="37" cm="1">
        <f t="array" ref="K216">SUM(K219,-(K217:K218))</f>
        <v>1635.6533600169187</v>
      </c>
      <c r="L216" s="37" cm="1">
        <f t="array" ref="L216">SUM(L219,-(L217:L218))</f>
        <v>1951.5431391181528</v>
      </c>
    </row>
    <row r="217" spans="2:12" x14ac:dyDescent="0.2">
      <c r="C217" s="44" t="s">
        <v>76</v>
      </c>
      <c r="D217" s="53" t="s">
        <v>45</v>
      </c>
      <c r="E217" s="33">
        <v>-199</v>
      </c>
      <c r="F217" s="33">
        <v>-70</v>
      </c>
      <c r="G217" s="33">
        <v>-63</v>
      </c>
      <c r="H217" s="42">
        <f>$G$217</f>
        <v>-63</v>
      </c>
      <c r="I217" s="42">
        <f t="shared" ref="I217:L217" si="123">$G$217</f>
        <v>-63</v>
      </c>
      <c r="J217" s="42">
        <f t="shared" si="123"/>
        <v>-63</v>
      </c>
      <c r="K217" s="42">
        <f t="shared" si="123"/>
        <v>-63</v>
      </c>
      <c r="L217" s="42">
        <f t="shared" si="123"/>
        <v>-63</v>
      </c>
    </row>
    <row r="218" spans="2:12" x14ac:dyDescent="0.2">
      <c r="C218" t="s">
        <v>75</v>
      </c>
      <c r="D218" s="53" t="s">
        <v>45</v>
      </c>
      <c r="E218" s="33">
        <v>0</v>
      </c>
      <c r="F218" s="33">
        <v>40</v>
      </c>
      <c r="G218" s="33">
        <v>0</v>
      </c>
      <c r="H218" s="42">
        <f>$G$218</f>
        <v>0</v>
      </c>
      <c r="I218" s="42">
        <f t="shared" ref="I218:L218" si="124">$G$218</f>
        <v>0</v>
      </c>
      <c r="J218" s="42">
        <f t="shared" si="124"/>
        <v>0</v>
      </c>
      <c r="K218" s="42">
        <f t="shared" si="124"/>
        <v>0</v>
      </c>
      <c r="L218" s="42">
        <f t="shared" si="124"/>
        <v>0</v>
      </c>
    </row>
    <row r="219" spans="2:12" ht="17" thickBot="1" x14ac:dyDescent="0.25">
      <c r="C219" s="128" t="s">
        <v>68</v>
      </c>
      <c r="D219" s="129" t="s">
        <v>45</v>
      </c>
      <c r="E219" s="130">
        <f>E214</f>
        <v>830</v>
      </c>
      <c r="F219" s="130">
        <f>F214</f>
        <v>593</v>
      </c>
      <c r="G219" s="130">
        <v>512</v>
      </c>
      <c r="H219" s="130">
        <f t="shared" ref="H219:L219" si="125">H214</f>
        <v>776.5464566618416</v>
      </c>
      <c r="I219" s="130">
        <f t="shared" si="125"/>
        <v>1058.4501729389913</v>
      </c>
      <c r="J219" s="130">
        <f t="shared" si="125"/>
        <v>1316.6590804821526</v>
      </c>
      <c r="K219" s="130">
        <f t="shared" si="125"/>
        <v>1572.6533600169187</v>
      </c>
      <c r="L219" s="130">
        <f t="shared" si="125"/>
        <v>1888.5431391181528</v>
      </c>
    </row>
    <row r="220" spans="2:12" ht="17" thickTop="1" x14ac:dyDescent="0.2"/>
    <row r="223" spans="2:12" x14ac:dyDescent="0.2">
      <c r="B223" s="1"/>
      <c r="C223" s="1"/>
      <c r="D223" s="3"/>
      <c r="E223" s="10"/>
      <c r="F223" s="10" t="s">
        <v>4</v>
      </c>
      <c r="G223" s="12"/>
      <c r="H223" s="13"/>
      <c r="I223" s="14"/>
      <c r="J223" s="14" t="s">
        <v>5</v>
      </c>
      <c r="K223" s="14"/>
      <c r="L223" s="14"/>
    </row>
    <row r="224" spans="2:12" x14ac:dyDescent="0.2">
      <c r="B224" s="2" t="s">
        <v>772</v>
      </c>
      <c r="C224" s="1"/>
      <c r="D224" s="47" t="s">
        <v>3</v>
      </c>
      <c r="E224" s="45">
        <f>EOMONTH(F224,-12)</f>
        <v>45199</v>
      </c>
      <c r="F224" s="45">
        <f>EOMONTH(G224,-12)</f>
        <v>45565</v>
      </c>
      <c r="G224" s="46">
        <f>$E$3</f>
        <v>45930</v>
      </c>
      <c r="H224" s="45">
        <f>EOMONTH(G224,12)</f>
        <v>46295</v>
      </c>
      <c r="I224" s="45">
        <f t="shared" ref="I224:L224" si="126">EOMONTH(H224,12)</f>
        <v>46660</v>
      </c>
      <c r="J224" s="45">
        <f t="shared" si="126"/>
        <v>47026</v>
      </c>
      <c r="K224" s="45">
        <f t="shared" si="126"/>
        <v>47391</v>
      </c>
      <c r="L224" s="45">
        <f t="shared" si="126"/>
        <v>47756</v>
      </c>
    </row>
    <row r="225" spans="3:12" x14ac:dyDescent="0.2">
      <c r="C225" t="s">
        <v>773</v>
      </c>
      <c r="D225" s="49" t="s">
        <v>692</v>
      </c>
      <c r="F225" s="64">
        <f>(F127-E127)/E127</f>
        <v>0.10802754108739811</v>
      </c>
      <c r="G225" s="64">
        <f t="shared" ref="G225:L225" si="127">(G127-F127)/F127</f>
        <v>9.6852530831865152E-2</v>
      </c>
      <c r="H225" s="64">
        <f t="shared" si="127"/>
        <v>8.0000000000000127E-2</v>
      </c>
      <c r="I225" s="64">
        <f t="shared" si="127"/>
        <v>7.6500000000000082E-2</v>
      </c>
      <c r="J225" s="64">
        <f t="shared" si="127"/>
        <v>7.2999999999999968E-2</v>
      </c>
      <c r="K225" s="64">
        <f t="shared" si="127"/>
        <v>6.9500000000000159E-2</v>
      </c>
      <c r="L225" s="64">
        <f t="shared" si="127"/>
        <v>6.6000000000000086E-2</v>
      </c>
    </row>
    <row r="226" spans="3:12" x14ac:dyDescent="0.2">
      <c r="C226" t="s">
        <v>774</v>
      </c>
      <c r="D226" s="53" t="s">
        <v>45</v>
      </c>
      <c r="E226" s="37">
        <f>E133-E130</f>
        <v>3265</v>
      </c>
      <c r="F226" s="37">
        <f t="shared" ref="F226:L226" si="128">F133-F130</f>
        <v>3634</v>
      </c>
      <c r="G226" s="37">
        <f t="shared" si="128"/>
        <v>4154</v>
      </c>
      <c r="H226" s="37">
        <f t="shared" si="128"/>
        <v>4523.7154666666665</v>
      </c>
      <c r="I226" s="37">
        <f t="shared" si="128"/>
        <v>4896.733199866665</v>
      </c>
      <c r="J226" s="37">
        <f t="shared" si="128"/>
        <v>5279.9150567902707</v>
      </c>
      <c r="K226" s="37">
        <f t="shared" si="128"/>
        <v>5794.2887618066634</v>
      </c>
      <c r="L226" s="37">
        <f t="shared" si="128"/>
        <v>6199.9658200859003</v>
      </c>
    </row>
    <row r="227" spans="3:12" x14ac:dyDescent="0.2">
      <c r="C227" t="s">
        <v>775</v>
      </c>
      <c r="D227" s="49" t="s">
        <v>692</v>
      </c>
      <c r="E227" s="64">
        <f>E226/E127</f>
        <v>8.613184899886564E-2</v>
      </c>
      <c r="F227" s="64">
        <f t="shared" ref="F227:L227" si="129">F226/F127</f>
        <v>8.6519689538593403E-2</v>
      </c>
      <c r="G227" s="64">
        <f t="shared" si="129"/>
        <v>9.0167136965487296E-2</v>
      </c>
      <c r="H227" s="64">
        <f t="shared" si="129"/>
        <v>9.0918720036873554E-2</v>
      </c>
      <c r="I227" s="64">
        <f t="shared" si="129"/>
        <v>9.1421941511261984E-2</v>
      </c>
      <c r="J227" s="64">
        <f t="shared" si="129"/>
        <v>9.186947018756951E-2</v>
      </c>
      <c r="K227" s="64">
        <f t="shared" si="129"/>
        <v>9.4267854312827998E-2</v>
      </c>
      <c r="L227" s="64">
        <f t="shared" si="129"/>
        <v>9.4622752638675367E-2</v>
      </c>
    </row>
    <row r="228" spans="3:12" x14ac:dyDescent="0.2">
      <c r="C228" t="s">
        <v>776</v>
      </c>
      <c r="D228" s="49" t="s">
        <v>692</v>
      </c>
      <c r="E228" s="64">
        <f>E142/E127</f>
        <v>4.2525127285197986E-2</v>
      </c>
      <c r="F228" s="64">
        <f t="shared" ref="F228:L228" si="130">F142/F127</f>
        <v>3.3665063568401501E-2</v>
      </c>
      <c r="G228" s="64">
        <f t="shared" si="130"/>
        <v>4.0807466898198391E-2</v>
      </c>
      <c r="H228" s="64">
        <f t="shared" si="130"/>
        <v>4.2718897796472428E-2</v>
      </c>
      <c r="I228" s="64">
        <f t="shared" si="130"/>
        <v>4.3997526312703934E-2</v>
      </c>
      <c r="J228" s="64">
        <f t="shared" si="130"/>
        <v>4.4995405206253059E-2</v>
      </c>
      <c r="K228" s="64">
        <f t="shared" si="130"/>
        <v>4.7204404904781644E-2</v>
      </c>
      <c r="L228" s="64">
        <f t="shared" si="130"/>
        <v>4.7783797423889884E-2</v>
      </c>
    </row>
    <row r="230" spans="3:12" x14ac:dyDescent="0.2">
      <c r="C230" t="s">
        <v>777</v>
      </c>
      <c r="D230" s="53" t="s">
        <v>45</v>
      </c>
      <c r="E230" s="110">
        <f>(-E172-E165-E166-E173-E158)/E226</f>
        <v>1.2980091883614089</v>
      </c>
      <c r="F230" s="110">
        <f t="shared" ref="F230:L230" si="131">(-F172-F165-F166-F173-F158)/F226</f>
        <v>1.4551458447991195</v>
      </c>
      <c r="G230" s="110">
        <f t="shared" si="131"/>
        <v>1.544776119402985</v>
      </c>
      <c r="H230" s="110">
        <f t="shared" si="131"/>
        <v>1.3662825102724241</v>
      </c>
      <c r="I230" s="110">
        <f t="shared" si="131"/>
        <v>1.2106233901104018</v>
      </c>
      <c r="J230" s="110">
        <f t="shared" si="131"/>
        <v>1.0796115727896483</v>
      </c>
      <c r="K230" s="110">
        <f t="shared" si="131"/>
        <v>0.94500081661020663</v>
      </c>
      <c r="L230" s="110">
        <f t="shared" si="131"/>
        <v>0.83742309274096915</v>
      </c>
    </row>
    <row r="231" spans="3:12" x14ac:dyDescent="0.2">
      <c r="C231" t="s">
        <v>778</v>
      </c>
      <c r="D231" s="53" t="s">
        <v>45</v>
      </c>
      <c r="E231" s="110">
        <f>-E226/E136</f>
        <v>12.606177606177607</v>
      </c>
      <c r="F231" s="110">
        <f t="shared" ref="F231:L231" si="132">-F226/F136</f>
        <v>9.2468193384223927</v>
      </c>
      <c r="G231" s="110">
        <f t="shared" si="132"/>
        <v>9.6829836829836822</v>
      </c>
      <c r="H231" s="110">
        <f t="shared" si="132"/>
        <v>18.270223254398676</v>
      </c>
      <c r="I231" s="110">
        <f t="shared" si="132"/>
        <v>19.670662788009999</v>
      </c>
      <c r="J231" s="110">
        <f t="shared" si="132"/>
        <v>21.092341455954273</v>
      </c>
      <c r="K231" s="110">
        <f t="shared" si="132"/>
        <v>23.015056110738019</v>
      </c>
      <c r="L231" s="110">
        <f t="shared" si="132"/>
        <v>24.48217645682287</v>
      </c>
    </row>
    <row r="233" spans="3:12" x14ac:dyDescent="0.2">
      <c r="C233" t="s">
        <v>779</v>
      </c>
      <c r="D233" s="49" t="s">
        <v>692</v>
      </c>
      <c r="E233" s="64">
        <f>-E198/E127</f>
        <v>2.6644155433033476E-2</v>
      </c>
      <c r="F233" s="64">
        <f t="shared" ref="F233:L233" si="133">-F198/F127</f>
        <v>3.1617542021808484E-2</v>
      </c>
      <c r="G233" s="64">
        <f t="shared" si="133"/>
        <v>2.858693292815281E-2</v>
      </c>
      <c r="H233" s="64">
        <f t="shared" si="133"/>
        <v>2.8949543460998258E-2</v>
      </c>
      <c r="I233" s="64">
        <f t="shared" si="133"/>
        <v>2.9399999999999999E-2</v>
      </c>
      <c r="J233" s="64">
        <f t="shared" si="133"/>
        <v>2.9800000000000004E-2</v>
      </c>
      <c r="K233" s="64">
        <f t="shared" si="133"/>
        <v>3.0199999999999998E-2</v>
      </c>
      <c r="L233" s="64">
        <f t="shared" si="133"/>
        <v>3.0599999999999999E-2</v>
      </c>
    </row>
    <row r="234" spans="3:12" x14ac:dyDescent="0.2">
      <c r="C234" t="s">
        <v>780</v>
      </c>
      <c r="D234" s="49" t="s">
        <v>692</v>
      </c>
      <c r="E234" s="64">
        <f>(E156+E157+E159-E168-E167)/E127</f>
        <v>0.36083045347824938</v>
      </c>
      <c r="F234" s="64">
        <f t="shared" ref="F234:L234" si="134">(F156+F157+F159-F168-F167)/F127</f>
        <v>0.37729155754487881</v>
      </c>
      <c r="G234" s="64">
        <f t="shared" si="134"/>
        <v>0.35819405252876058</v>
      </c>
      <c r="H234" s="64">
        <f t="shared" si="134"/>
        <v>0.35911861417978741</v>
      </c>
      <c r="I234" s="64">
        <f t="shared" si="134"/>
        <v>0.35777717391041541</v>
      </c>
      <c r="J234" s="64">
        <f t="shared" si="134"/>
        <v>0.35552587553914033</v>
      </c>
      <c r="K234" s="64">
        <f t="shared" si="134"/>
        <v>0.35507602325292986</v>
      </c>
      <c r="L234" s="64">
        <f t="shared" si="134"/>
        <v>0.35506772263568337</v>
      </c>
    </row>
    <row r="235" spans="3:12" x14ac:dyDescent="0.2">
      <c r="C235" t="s">
        <v>781</v>
      </c>
      <c r="D235" s="49" t="s">
        <v>692</v>
      </c>
      <c r="E235" s="64">
        <f t="shared" ref="E235:L235" si="135">E133*(1-E21)/(E185-E172-E173-E165-E166-E158)</f>
        <v>0.16556859134839505</v>
      </c>
      <c r="F235" s="64">
        <f t="shared" si="135"/>
        <v>0.1457379370730901</v>
      </c>
      <c r="G235" s="64">
        <f t="shared" si="135"/>
        <v>0.15211050209743204</v>
      </c>
      <c r="H235" s="64">
        <f t="shared" si="135"/>
        <v>0.15951881462314049</v>
      </c>
      <c r="I235" s="64">
        <f t="shared" si="135"/>
        <v>0.1725780364768332</v>
      </c>
      <c r="J235" s="64">
        <f t="shared" si="135"/>
        <v>0.18423024856973588</v>
      </c>
      <c r="K235" s="64">
        <f t="shared" si="135"/>
        <v>0.20028372436203482</v>
      </c>
      <c r="L235" s="64">
        <f t="shared" si="135"/>
        <v>0.21026580084804364</v>
      </c>
    </row>
    <row r="237" spans="3:12" x14ac:dyDescent="0.2">
      <c r="C237" t="s">
        <v>782</v>
      </c>
      <c r="D237" s="76" t="s">
        <v>746</v>
      </c>
      <c r="E237" s="59">
        <f t="shared" ref="E237:L237" si="136">E24+E25-E26</f>
        <v>-143.78655659849824</v>
      </c>
      <c r="F237" s="59">
        <f t="shared" si="136"/>
        <v>-155.24552842058191</v>
      </c>
      <c r="G237" s="59">
        <f t="shared" si="136"/>
        <v>-150.50232613570154</v>
      </c>
      <c r="H237" s="59">
        <f t="shared" si="136"/>
        <v>-149.84480371826058</v>
      </c>
      <c r="I237" s="59">
        <f t="shared" si="136"/>
        <v>-149.84480371826058</v>
      </c>
      <c r="J237" s="59">
        <f t="shared" si="136"/>
        <v>-149.84480371826058</v>
      </c>
      <c r="K237" s="59">
        <f t="shared" si="136"/>
        <v>-149.84480371826058</v>
      </c>
      <c r="L237" s="59">
        <f t="shared" si="136"/>
        <v>-149.84480371826058</v>
      </c>
    </row>
  </sheetData>
  <pageMargins left="0.7" right="0.7" top="0.75" bottom="0.75" header="0.3" footer="0.3"/>
  <pageSetup paperSize="9" orientation="portrait" horizontalDpi="0" verticalDpi="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81FF0D-FE84-3742-8C23-79575DF4BA7A}">
  <dimension ref="B9:V67"/>
  <sheetViews>
    <sheetView showGridLines="0" zoomScale="81" workbookViewId="0"/>
  </sheetViews>
  <sheetFormatPr baseColWidth="10" defaultRowHeight="16" x14ac:dyDescent="0.2"/>
  <cols>
    <col min="1" max="1" width="2.6640625" customWidth="1"/>
    <col min="2" max="2" width="33" customWidth="1"/>
    <col min="9" max="9" width="10.83203125" customWidth="1"/>
  </cols>
  <sheetData>
    <row r="9" spans="2:22" x14ac:dyDescent="0.2">
      <c r="B9" s="6" t="s">
        <v>785</v>
      </c>
      <c r="C9" s="4"/>
      <c r="D9" s="4"/>
      <c r="E9" s="4"/>
      <c r="F9" s="4"/>
      <c r="G9" s="83"/>
      <c r="H9" s="83"/>
      <c r="I9" s="83"/>
      <c r="J9" s="83"/>
      <c r="K9" s="83"/>
      <c r="L9" s="83"/>
      <c r="M9" s="83"/>
      <c r="N9" s="83"/>
      <c r="O9" s="83"/>
      <c r="P9" s="83"/>
      <c r="Q9" s="83"/>
      <c r="R9" s="83" t="s">
        <v>803</v>
      </c>
      <c r="S9" s="83" t="s">
        <v>803</v>
      </c>
      <c r="T9" s="83"/>
      <c r="U9" s="83"/>
      <c r="V9" s="83"/>
    </row>
    <row r="10" spans="2:22" x14ac:dyDescent="0.2">
      <c r="B10" s="6"/>
      <c r="C10" s="4"/>
      <c r="D10" s="83" t="s">
        <v>787</v>
      </c>
      <c r="E10" s="83" t="s">
        <v>788</v>
      </c>
      <c r="F10" s="4"/>
      <c r="G10" s="83"/>
      <c r="H10" s="83" t="s">
        <v>800</v>
      </c>
      <c r="I10" s="83"/>
      <c r="J10" s="83" t="s">
        <v>815</v>
      </c>
      <c r="K10" s="83"/>
      <c r="L10" s="83"/>
      <c r="M10" s="83" t="s">
        <v>816</v>
      </c>
      <c r="N10" s="83"/>
      <c r="O10" s="83"/>
      <c r="P10" s="83" t="s">
        <v>817</v>
      </c>
      <c r="Q10" s="83"/>
      <c r="R10" s="83" t="s">
        <v>804</v>
      </c>
      <c r="S10" s="83" t="s">
        <v>117</v>
      </c>
      <c r="T10" s="83"/>
      <c r="U10" s="83" t="s">
        <v>805</v>
      </c>
      <c r="V10" s="83"/>
    </row>
    <row r="11" spans="2:22" x14ac:dyDescent="0.2">
      <c r="B11" s="6" t="s">
        <v>1</v>
      </c>
      <c r="C11" s="83" t="s">
        <v>786</v>
      </c>
      <c r="D11" s="83" t="s">
        <v>802</v>
      </c>
      <c r="E11" s="83" t="s">
        <v>801</v>
      </c>
      <c r="F11" s="83" t="s">
        <v>797</v>
      </c>
      <c r="G11" s="83" t="s">
        <v>798</v>
      </c>
      <c r="H11" s="83" t="s">
        <v>801</v>
      </c>
      <c r="I11" s="83" t="s">
        <v>807</v>
      </c>
      <c r="J11" s="45">
        <f>'3_Statment_model'!$H$6</f>
        <v>46295</v>
      </c>
      <c r="K11" s="45">
        <f>'3_Statment_model'!$I$6</f>
        <v>46660</v>
      </c>
      <c r="L11" s="83" t="s">
        <v>807</v>
      </c>
      <c r="M11" s="45">
        <f>'3_Statment_model'!$H$6</f>
        <v>46295</v>
      </c>
      <c r="N11" s="45">
        <f>'3_Statment_model'!$I$6</f>
        <v>46660</v>
      </c>
      <c r="O11" s="83" t="s">
        <v>807</v>
      </c>
      <c r="P11" s="45">
        <f>'3_Statment_model'!$H$6</f>
        <v>46295</v>
      </c>
      <c r="Q11" s="45">
        <f>'3_Statment_model'!$I$6</f>
        <v>46660</v>
      </c>
      <c r="R11" s="83" t="s">
        <v>806</v>
      </c>
      <c r="S11" s="83" t="s">
        <v>806</v>
      </c>
      <c r="T11" s="83" t="s">
        <v>807</v>
      </c>
      <c r="U11" s="45">
        <f>'3_Statment_model'!$H$6</f>
        <v>46295</v>
      </c>
      <c r="V11" s="45">
        <f>'3_Statment_model'!$I$6</f>
        <v>46660</v>
      </c>
    </row>
    <row r="12" spans="2:22" x14ac:dyDescent="0.2">
      <c r="B12" t="s">
        <v>789</v>
      </c>
      <c r="C12" t="s">
        <v>793</v>
      </c>
      <c r="D12" s="84">
        <v>65.87</v>
      </c>
      <c r="E12" s="70">
        <v>9580</v>
      </c>
      <c r="F12" s="65">
        <v>0.19</v>
      </c>
      <c r="G12" s="81">
        <v>0.25900000000000001</v>
      </c>
      <c r="H12" s="70">
        <v>13200</v>
      </c>
      <c r="I12" s="70">
        <v>27244</v>
      </c>
      <c r="J12" s="70">
        <v>27494</v>
      </c>
      <c r="K12" s="70">
        <v>28449</v>
      </c>
      <c r="L12" s="70">
        <v>1506</v>
      </c>
      <c r="M12" s="70">
        <v>1472</v>
      </c>
      <c r="N12" s="70">
        <v>1545</v>
      </c>
      <c r="O12" s="70">
        <v>518</v>
      </c>
      <c r="P12" s="70">
        <v>287</v>
      </c>
      <c r="Q12" s="70">
        <v>365</v>
      </c>
      <c r="R12" s="64">
        <f>(K12-J12)/J12</f>
        <v>3.4734851240270606E-2</v>
      </c>
      <c r="S12" s="64">
        <f>(N12-M12)/M12</f>
        <v>4.9592391304347824E-2</v>
      </c>
      <c r="T12" s="64">
        <f>L12/I12</f>
        <v>5.527822639847306E-2</v>
      </c>
      <c r="U12" s="64">
        <f t="shared" ref="U12:V12" si="0">M12/J12</f>
        <v>5.3538953953589874E-2</v>
      </c>
      <c r="V12" s="64">
        <f t="shared" si="0"/>
        <v>5.4307708531055571E-2</v>
      </c>
    </row>
    <row r="13" spans="2:22" x14ac:dyDescent="0.2">
      <c r="B13" t="s">
        <v>790</v>
      </c>
      <c r="C13" t="s">
        <v>794</v>
      </c>
      <c r="D13" s="84">
        <v>56.97</v>
      </c>
      <c r="E13" s="70">
        <v>14980</v>
      </c>
      <c r="F13" s="65">
        <v>1.18</v>
      </c>
      <c r="G13" s="81">
        <v>0.25700000000000001</v>
      </c>
      <c r="H13" s="70">
        <v>19620</v>
      </c>
      <c r="I13" s="70">
        <v>19414</v>
      </c>
      <c r="J13" s="70">
        <v>19970</v>
      </c>
      <c r="K13" s="70">
        <v>21412</v>
      </c>
      <c r="L13" s="70">
        <v>1345</v>
      </c>
      <c r="M13" s="70">
        <v>1540</v>
      </c>
      <c r="N13" s="70">
        <v>1724</v>
      </c>
      <c r="O13" s="70">
        <v>357</v>
      </c>
      <c r="P13" s="70">
        <v>487.2</v>
      </c>
      <c r="Q13" s="70">
        <v>637.29999999999995</v>
      </c>
      <c r="R13" s="64">
        <f t="shared" ref="R13" si="1">(K13-J13)/J13</f>
        <v>7.2208312468703059E-2</v>
      </c>
      <c r="S13" s="64">
        <f t="shared" ref="S13" si="2">(N13-M13)/M13</f>
        <v>0.11948051948051948</v>
      </c>
      <c r="T13" s="64">
        <f t="shared" ref="T13" si="3">L13/I13</f>
        <v>6.9279901102297314E-2</v>
      </c>
      <c r="U13" s="64">
        <f t="shared" ref="U13" si="4">M13/J13</f>
        <v>7.7115673510265395E-2</v>
      </c>
      <c r="V13" s="64">
        <f t="shared" ref="V13" si="5">N13/K13</f>
        <v>8.0515598729684293E-2</v>
      </c>
    </row>
    <row r="14" spans="2:22" x14ac:dyDescent="0.2">
      <c r="B14" t="s">
        <v>791</v>
      </c>
      <c r="C14" t="s">
        <v>795</v>
      </c>
      <c r="D14" s="84">
        <v>2.44</v>
      </c>
      <c r="E14" s="70">
        <v>616</v>
      </c>
      <c r="F14" s="65">
        <v>1.87</v>
      </c>
      <c r="G14" s="81">
        <v>0.32200000000000001</v>
      </c>
      <c r="H14" s="70">
        <v>1920</v>
      </c>
      <c r="I14" s="70">
        <v>7056</v>
      </c>
      <c r="J14" s="70">
        <v>7135</v>
      </c>
      <c r="K14" s="70">
        <v>7351</v>
      </c>
      <c r="L14" s="70">
        <v>374</v>
      </c>
      <c r="M14" s="70">
        <v>389</v>
      </c>
      <c r="N14" s="70">
        <v>443</v>
      </c>
      <c r="O14" s="70">
        <v>76</v>
      </c>
      <c r="P14" s="70">
        <v>22</v>
      </c>
      <c r="Q14" s="70">
        <v>67</v>
      </c>
      <c r="R14" s="64">
        <f t="shared" ref="R14" si="6">(K14-J14)/J14</f>
        <v>3.0273300630693764E-2</v>
      </c>
      <c r="S14" s="64">
        <f t="shared" ref="S14" si="7">(N14-M14)/M14</f>
        <v>0.13881748071979436</v>
      </c>
      <c r="T14" s="64">
        <f t="shared" ref="T14" si="8">L14/I14</f>
        <v>5.3004535147392291E-2</v>
      </c>
      <c r="U14" s="64">
        <f t="shared" ref="U14" si="9">M14/J14</f>
        <v>5.4519971969166081E-2</v>
      </c>
      <c r="V14" s="64">
        <f t="shared" ref="V14" si="10">N14/K14</f>
        <v>6.0263909672153448E-2</v>
      </c>
    </row>
    <row r="15" spans="2:22" x14ac:dyDescent="0.2">
      <c r="B15" t="s">
        <v>792</v>
      </c>
      <c r="C15" t="s">
        <v>796</v>
      </c>
      <c r="D15" s="84">
        <v>44.32</v>
      </c>
      <c r="E15" s="70">
        <v>6950</v>
      </c>
      <c r="F15" s="65">
        <v>0.85</v>
      </c>
      <c r="G15" s="81">
        <v>0.20599999999999999</v>
      </c>
      <c r="H15" s="70">
        <v>9160</v>
      </c>
      <c r="I15" s="70">
        <v>13060</v>
      </c>
      <c r="J15" s="70">
        <v>13922</v>
      </c>
      <c r="K15" s="70">
        <v>14659</v>
      </c>
      <c r="L15" s="70">
        <v>882</v>
      </c>
      <c r="M15" s="70">
        <v>975</v>
      </c>
      <c r="N15" s="70">
        <v>1036</v>
      </c>
      <c r="O15" s="70">
        <v>401</v>
      </c>
      <c r="P15" s="70">
        <v>465</v>
      </c>
      <c r="Q15" s="70">
        <v>500</v>
      </c>
      <c r="R15" s="64">
        <f t="shared" ref="R15" si="11">(K15-J15)/J15</f>
        <v>5.2937796293635972E-2</v>
      </c>
      <c r="S15" s="64">
        <f t="shared" ref="S15" si="12">(N15-M15)/M15</f>
        <v>6.2564102564102567E-2</v>
      </c>
      <c r="T15" s="64">
        <f t="shared" ref="T15" si="13">L15/I15</f>
        <v>6.7534456355283309E-2</v>
      </c>
      <c r="U15" s="64">
        <f t="shared" ref="U15" si="14">M15/J15</f>
        <v>7.0033041229708382E-2</v>
      </c>
      <c r="V15" s="64">
        <f t="shared" ref="V15" si="15">N15/K15</f>
        <v>7.0673306501125591E-2</v>
      </c>
    </row>
    <row r="16" spans="2:22" x14ac:dyDescent="0.2">
      <c r="B16" t="s">
        <v>808</v>
      </c>
      <c r="C16" t="s">
        <v>809</v>
      </c>
      <c r="D16" s="84">
        <v>268.70999999999998</v>
      </c>
      <c r="E16" s="70">
        <v>2040</v>
      </c>
      <c r="F16" s="65">
        <v>0.91</v>
      </c>
      <c r="G16" s="81">
        <v>0.22500000000000001</v>
      </c>
      <c r="H16" s="70">
        <v>4670</v>
      </c>
      <c r="I16" s="70">
        <v>3741</v>
      </c>
      <c r="J16" s="70">
        <v>5044</v>
      </c>
      <c r="K16" s="70">
        <v>5396</v>
      </c>
      <c r="L16" s="70">
        <v>810</v>
      </c>
      <c r="M16" s="70">
        <v>1005</v>
      </c>
      <c r="N16" s="70">
        <v>1070</v>
      </c>
      <c r="O16" s="70">
        <v>-39</v>
      </c>
      <c r="P16" s="70">
        <v>126</v>
      </c>
      <c r="Q16" s="70">
        <v>151</v>
      </c>
      <c r="R16" s="64">
        <f t="shared" ref="R16" si="16">(K16-J16)/J16</f>
        <v>6.9785884218873911E-2</v>
      </c>
      <c r="S16" s="64">
        <f t="shared" ref="S16" si="17">(N16-M16)/M16</f>
        <v>6.4676616915422883E-2</v>
      </c>
      <c r="T16" s="64">
        <f t="shared" ref="T16" si="18">L16/I16</f>
        <v>0.2165196471531676</v>
      </c>
      <c r="U16" s="64">
        <f t="shared" ref="U16" si="19">M16/J16</f>
        <v>0.19924662965900081</v>
      </c>
      <c r="V16" s="64">
        <f t="shared" ref="V16" si="20">N16/K16</f>
        <v>0.19829503335804299</v>
      </c>
    </row>
    <row r="18" spans="2:22" x14ac:dyDescent="0.2">
      <c r="B18" s="85" t="s">
        <v>810</v>
      </c>
      <c r="C18" s="91"/>
      <c r="D18" s="90">
        <f>MAX(D12:D16)</f>
        <v>268.70999999999998</v>
      </c>
      <c r="E18" s="95">
        <f>MAX(E12:E16)</f>
        <v>14980</v>
      </c>
      <c r="F18" s="91"/>
      <c r="G18" s="91"/>
      <c r="H18" s="95">
        <f t="shared" ref="H18:V18" si="21">MAX(H12:H16)</f>
        <v>19620</v>
      </c>
      <c r="I18" s="95">
        <f t="shared" si="21"/>
        <v>27244</v>
      </c>
      <c r="J18" s="95">
        <f t="shared" si="21"/>
        <v>27494</v>
      </c>
      <c r="K18" s="95">
        <f t="shared" si="21"/>
        <v>28449</v>
      </c>
      <c r="L18" s="95">
        <f t="shared" si="21"/>
        <v>1506</v>
      </c>
      <c r="M18" s="95">
        <f t="shared" si="21"/>
        <v>1540</v>
      </c>
      <c r="N18" s="95">
        <f t="shared" si="21"/>
        <v>1724</v>
      </c>
      <c r="O18" s="95">
        <f t="shared" si="21"/>
        <v>518</v>
      </c>
      <c r="P18" s="95">
        <f t="shared" si="21"/>
        <v>487.2</v>
      </c>
      <c r="Q18" s="95">
        <f t="shared" si="21"/>
        <v>637.29999999999995</v>
      </c>
      <c r="R18" s="98">
        <f t="shared" si="21"/>
        <v>7.2208312468703059E-2</v>
      </c>
      <c r="S18" s="98">
        <f t="shared" si="21"/>
        <v>0.13881748071979436</v>
      </c>
      <c r="T18" s="98">
        <f t="shared" si="21"/>
        <v>0.2165196471531676</v>
      </c>
      <c r="U18" s="98">
        <f t="shared" si="21"/>
        <v>0.19924662965900081</v>
      </c>
      <c r="V18" s="101">
        <f t="shared" si="21"/>
        <v>0.19829503335804299</v>
      </c>
    </row>
    <row r="19" spans="2:22" x14ac:dyDescent="0.2">
      <c r="B19" s="86" t="s">
        <v>811</v>
      </c>
      <c r="C19" s="92"/>
      <c r="D19" s="88">
        <f>QUARTILE(D12:D16,3)</f>
        <v>65.87</v>
      </c>
      <c r="E19" s="96">
        <f>QUARTILE(E12:E16,3)</f>
        <v>9580</v>
      </c>
      <c r="F19" s="92"/>
      <c r="G19" s="92"/>
      <c r="H19" s="96">
        <f t="shared" ref="H19:V19" si="22">QUARTILE(H12:H16,3)</f>
        <v>13200</v>
      </c>
      <c r="I19" s="96">
        <f t="shared" si="22"/>
        <v>19414</v>
      </c>
      <c r="J19" s="96">
        <f t="shared" si="22"/>
        <v>19970</v>
      </c>
      <c r="K19" s="96">
        <f t="shared" si="22"/>
        <v>21412</v>
      </c>
      <c r="L19" s="96">
        <f t="shared" si="22"/>
        <v>1345</v>
      </c>
      <c r="M19" s="96">
        <f t="shared" si="22"/>
        <v>1472</v>
      </c>
      <c r="N19" s="96">
        <f t="shared" si="22"/>
        <v>1545</v>
      </c>
      <c r="O19" s="96">
        <f t="shared" si="22"/>
        <v>401</v>
      </c>
      <c r="P19" s="96">
        <f t="shared" si="22"/>
        <v>465</v>
      </c>
      <c r="Q19" s="96">
        <f t="shared" si="22"/>
        <v>500</v>
      </c>
      <c r="R19" s="99">
        <f t="shared" si="22"/>
        <v>6.9785884218873911E-2</v>
      </c>
      <c r="S19" s="99">
        <f t="shared" si="22"/>
        <v>0.11948051948051948</v>
      </c>
      <c r="T19" s="99">
        <f t="shared" si="22"/>
        <v>6.9279901102297314E-2</v>
      </c>
      <c r="U19" s="99">
        <f t="shared" si="22"/>
        <v>7.7115673510265395E-2</v>
      </c>
      <c r="V19" s="102">
        <f t="shared" si="22"/>
        <v>8.0515598729684293E-2</v>
      </c>
    </row>
    <row r="20" spans="2:22" x14ac:dyDescent="0.2">
      <c r="B20" s="104" t="s">
        <v>812</v>
      </c>
      <c r="C20" s="105"/>
      <c r="D20" s="106">
        <f>MEDIAN(D12:D16)</f>
        <v>56.97</v>
      </c>
      <c r="E20" s="107">
        <f>MEDIAN(E12:E16)</f>
        <v>6950</v>
      </c>
      <c r="F20" s="105"/>
      <c r="G20" s="105"/>
      <c r="H20" s="107">
        <f t="shared" ref="H20:V20" si="23">MEDIAN(H12:H16)</f>
        <v>9160</v>
      </c>
      <c r="I20" s="107">
        <f t="shared" si="23"/>
        <v>13060</v>
      </c>
      <c r="J20" s="107">
        <f t="shared" si="23"/>
        <v>13922</v>
      </c>
      <c r="K20" s="107">
        <f t="shared" si="23"/>
        <v>14659</v>
      </c>
      <c r="L20" s="107">
        <f t="shared" si="23"/>
        <v>882</v>
      </c>
      <c r="M20" s="107">
        <f t="shared" si="23"/>
        <v>1005</v>
      </c>
      <c r="N20" s="107">
        <f t="shared" si="23"/>
        <v>1070</v>
      </c>
      <c r="O20" s="107">
        <f t="shared" si="23"/>
        <v>357</v>
      </c>
      <c r="P20" s="107">
        <f t="shared" si="23"/>
        <v>287</v>
      </c>
      <c r="Q20" s="107">
        <f t="shared" si="23"/>
        <v>365</v>
      </c>
      <c r="R20" s="108">
        <f t="shared" si="23"/>
        <v>5.2937796293635972E-2</v>
      </c>
      <c r="S20" s="108">
        <f t="shared" si="23"/>
        <v>6.4676616915422883E-2</v>
      </c>
      <c r="T20" s="108">
        <f t="shared" si="23"/>
        <v>6.7534456355283309E-2</v>
      </c>
      <c r="U20" s="108">
        <f t="shared" si="23"/>
        <v>7.0033041229708382E-2</v>
      </c>
      <c r="V20" s="109">
        <f t="shared" si="23"/>
        <v>7.0673306501125591E-2</v>
      </c>
    </row>
    <row r="21" spans="2:22" x14ac:dyDescent="0.2">
      <c r="B21" s="86" t="s">
        <v>813</v>
      </c>
      <c r="C21" s="93"/>
      <c r="D21" s="88">
        <f>QUARTILE(D12:D16,1)</f>
        <v>44.32</v>
      </c>
      <c r="E21" s="96">
        <f>QUARTILE(E12:E16,1)</f>
        <v>2040</v>
      </c>
      <c r="F21" s="93"/>
      <c r="G21" s="93"/>
      <c r="H21" s="96">
        <f t="shared" ref="H21:V21" si="24">QUARTILE(H12:H16,1)</f>
        <v>4670</v>
      </c>
      <c r="I21" s="96">
        <f t="shared" si="24"/>
        <v>7056</v>
      </c>
      <c r="J21" s="96">
        <f t="shared" si="24"/>
        <v>7135</v>
      </c>
      <c r="K21" s="96">
        <f t="shared" si="24"/>
        <v>7351</v>
      </c>
      <c r="L21" s="96">
        <f t="shared" si="24"/>
        <v>810</v>
      </c>
      <c r="M21" s="96">
        <f t="shared" si="24"/>
        <v>975</v>
      </c>
      <c r="N21" s="96">
        <f t="shared" si="24"/>
        <v>1036</v>
      </c>
      <c r="O21" s="96">
        <f t="shared" si="24"/>
        <v>76</v>
      </c>
      <c r="P21" s="96">
        <f t="shared" si="24"/>
        <v>126</v>
      </c>
      <c r="Q21" s="96">
        <f t="shared" si="24"/>
        <v>151</v>
      </c>
      <c r="R21" s="99">
        <f t="shared" si="24"/>
        <v>3.4734851240270606E-2</v>
      </c>
      <c r="S21" s="99">
        <f t="shared" si="24"/>
        <v>6.2564102564102567E-2</v>
      </c>
      <c r="T21" s="99">
        <f t="shared" si="24"/>
        <v>5.527822639847306E-2</v>
      </c>
      <c r="U21" s="99">
        <f t="shared" si="24"/>
        <v>5.4519971969166081E-2</v>
      </c>
      <c r="V21" s="102">
        <f t="shared" si="24"/>
        <v>6.0263909672153448E-2</v>
      </c>
    </row>
    <row r="22" spans="2:22" x14ac:dyDescent="0.2">
      <c r="B22" s="87" t="s">
        <v>814</v>
      </c>
      <c r="C22" s="94"/>
      <c r="D22" s="89">
        <f>MIN(D12:D16)</f>
        <v>2.44</v>
      </c>
      <c r="E22" s="97">
        <f>MIN(E12:E16)</f>
        <v>616</v>
      </c>
      <c r="F22" s="94"/>
      <c r="G22" s="94"/>
      <c r="H22" s="97">
        <f t="shared" ref="H22:V22" si="25">MIN(H12:H16)</f>
        <v>1920</v>
      </c>
      <c r="I22" s="97">
        <f t="shared" si="25"/>
        <v>3741</v>
      </c>
      <c r="J22" s="97">
        <f t="shared" si="25"/>
        <v>5044</v>
      </c>
      <c r="K22" s="97">
        <f t="shared" si="25"/>
        <v>5396</v>
      </c>
      <c r="L22" s="97">
        <f t="shared" si="25"/>
        <v>374</v>
      </c>
      <c r="M22" s="97">
        <f t="shared" si="25"/>
        <v>389</v>
      </c>
      <c r="N22" s="97">
        <f t="shared" si="25"/>
        <v>443</v>
      </c>
      <c r="O22" s="97">
        <f t="shared" si="25"/>
        <v>-39</v>
      </c>
      <c r="P22" s="97">
        <f t="shared" si="25"/>
        <v>22</v>
      </c>
      <c r="Q22" s="97">
        <f t="shared" si="25"/>
        <v>67</v>
      </c>
      <c r="R22" s="100">
        <f t="shared" si="25"/>
        <v>3.0273300630693764E-2</v>
      </c>
      <c r="S22" s="100">
        <f t="shared" si="25"/>
        <v>4.9592391304347824E-2</v>
      </c>
      <c r="T22" s="100">
        <f t="shared" si="25"/>
        <v>5.3004535147392291E-2</v>
      </c>
      <c r="U22" s="100">
        <f t="shared" si="25"/>
        <v>5.3538953953589874E-2</v>
      </c>
      <c r="V22" s="103">
        <f t="shared" si="25"/>
        <v>5.4307708531055571E-2</v>
      </c>
    </row>
    <row r="24" spans="2:22" x14ac:dyDescent="0.2">
      <c r="B24" s="276" t="s">
        <v>44</v>
      </c>
      <c r="C24" s="277" t="s">
        <v>821</v>
      </c>
      <c r="D24" s="277">
        <f>Valuation_Summary!E6</f>
        <v>31.71</v>
      </c>
      <c r="E24" s="280">
        <f>DCF!E8*DCF!E9</f>
        <v>56602.35</v>
      </c>
      <c r="F24" s="277">
        <v>0.65</v>
      </c>
      <c r="G24" s="281">
        <f>'3_Statment_model'!G21</f>
        <v>0.27244582043343651</v>
      </c>
      <c r="H24" s="280">
        <f>DCF!E20</f>
        <v>62924.35</v>
      </c>
      <c r="I24" s="280">
        <v>48485</v>
      </c>
      <c r="J24" s="280">
        <f>'3_Statment_model'!H127</f>
        <v>49755.600000000006</v>
      </c>
      <c r="K24" s="280">
        <f>'3_Statment_model'!I127</f>
        <v>53561.90340000001</v>
      </c>
      <c r="L24" s="277">
        <v>4473</v>
      </c>
      <c r="M24" s="280">
        <f>'3_Statment_model'!H226</f>
        <v>4523.7154666666665</v>
      </c>
      <c r="N24" s="280">
        <f>'3_Statment_model'!I226</f>
        <v>4896.733199866665</v>
      </c>
      <c r="O24" s="277">
        <v>2018</v>
      </c>
      <c r="P24" s="280">
        <f>'3_Statment_model'!H142</f>
        <v>2125.5043912021638</v>
      </c>
      <c r="Q24" s="280">
        <f>'3_Statment_model'!I142</f>
        <v>2356.5912542000069</v>
      </c>
      <c r="R24" s="282">
        <f t="shared" ref="R24" si="26">(K24-J24)/J24</f>
        <v>7.6500000000000082E-2</v>
      </c>
      <c r="S24" s="282">
        <f t="shared" ref="S24" si="27">(N24-M24)/M24</f>
        <v>8.2458265987020482E-2</v>
      </c>
      <c r="T24" s="282">
        <f t="shared" ref="T24" si="28">L24/I24</f>
        <v>9.225533670207281E-2</v>
      </c>
      <c r="U24" s="282">
        <f t="shared" ref="U24" si="29">M24/J24</f>
        <v>9.0918720036873554E-2</v>
      </c>
      <c r="V24" s="283">
        <f t="shared" ref="V24" si="30">N24/K24</f>
        <v>9.1421941511261984E-2</v>
      </c>
    </row>
    <row r="26" spans="2:22" x14ac:dyDescent="0.2">
      <c r="B26" s="6" t="s">
        <v>818</v>
      </c>
      <c r="C26" s="4"/>
      <c r="D26" s="83"/>
      <c r="E26" s="83" t="s">
        <v>819</v>
      </c>
      <c r="F26" s="83"/>
      <c r="G26" s="83"/>
      <c r="H26" s="83" t="s">
        <v>819</v>
      </c>
      <c r="I26" s="83"/>
      <c r="J26" s="83"/>
      <c r="K26" s="83"/>
      <c r="L26" s="83"/>
    </row>
    <row r="27" spans="2:22" x14ac:dyDescent="0.2">
      <c r="B27" s="6"/>
      <c r="C27" s="4"/>
      <c r="D27" s="83"/>
      <c r="E27" s="83" t="s">
        <v>804</v>
      </c>
      <c r="F27" s="83"/>
      <c r="G27" s="83"/>
      <c r="H27" s="83" t="s">
        <v>117</v>
      </c>
      <c r="I27" s="83"/>
      <c r="J27" s="83"/>
      <c r="K27" s="83" t="s">
        <v>820</v>
      </c>
      <c r="L27" s="83"/>
    </row>
    <row r="28" spans="2:22" x14ac:dyDescent="0.2">
      <c r="B28" s="6" t="s">
        <v>1</v>
      </c>
      <c r="C28" s="83" t="s">
        <v>786</v>
      </c>
      <c r="D28" s="83" t="s">
        <v>807</v>
      </c>
      <c r="E28" s="45">
        <f>'3_Statment_model'!$H$6</f>
        <v>46295</v>
      </c>
      <c r="F28" s="45">
        <f>'3_Statment_model'!$I$6</f>
        <v>46660</v>
      </c>
      <c r="G28" s="83" t="s">
        <v>807</v>
      </c>
      <c r="H28" s="45">
        <f>'3_Statment_model'!$H$6</f>
        <v>46295</v>
      </c>
      <c r="I28" s="45">
        <f>'3_Statment_model'!$I$6</f>
        <v>46660</v>
      </c>
      <c r="J28" s="83" t="s">
        <v>807</v>
      </c>
      <c r="K28" s="45">
        <f>'3_Statment_model'!$H$6</f>
        <v>46295</v>
      </c>
      <c r="L28" s="45">
        <f>'3_Statment_model'!$I$6</f>
        <v>46660</v>
      </c>
    </row>
    <row r="29" spans="2:22" x14ac:dyDescent="0.2">
      <c r="B29" t="str">
        <f>B12</f>
        <v>Sodexo</v>
      </c>
      <c r="C29" t="str">
        <f>C12</f>
        <v>SW</v>
      </c>
      <c r="D29" s="110">
        <f t="shared" ref="D29:I33" si="31">IF($H12/I12&lt;0,"NM",$H12/I12)</f>
        <v>0.48451035090295108</v>
      </c>
      <c r="E29" s="110">
        <f t="shared" si="31"/>
        <v>0.48010475012730053</v>
      </c>
      <c r="F29" s="110">
        <f t="shared" si="31"/>
        <v>0.46398818939154274</v>
      </c>
      <c r="G29" s="110">
        <f t="shared" si="31"/>
        <v>8.764940239043824</v>
      </c>
      <c r="H29" s="110">
        <f t="shared" si="31"/>
        <v>8.9673913043478262</v>
      </c>
      <c r="I29" s="110">
        <f t="shared" si="31"/>
        <v>8.5436893203883493</v>
      </c>
      <c r="J29" s="110">
        <f>IF($E12/O12&lt;0,"NM",$E12/O12)</f>
        <v>18.494208494208493</v>
      </c>
      <c r="K29" s="110">
        <f t="shared" ref="K29:L33" si="32">IF($E12/P12&lt;0,"NM",$E12/P12)</f>
        <v>33.379790940766547</v>
      </c>
      <c r="L29" s="110">
        <f t="shared" si="32"/>
        <v>26.246575342465754</v>
      </c>
    </row>
    <row r="30" spans="2:22" x14ac:dyDescent="0.2">
      <c r="B30" t="str">
        <f t="shared" ref="B30:B33" si="33">B13</f>
        <v>Aramark</v>
      </c>
      <c r="C30" t="str">
        <f t="shared" ref="C30:C33" si="34">C13</f>
        <v>ARMK</v>
      </c>
      <c r="D30" s="110">
        <f t="shared" si="31"/>
        <v>1.0106108993509839</v>
      </c>
      <c r="E30" s="110">
        <f t="shared" si="31"/>
        <v>0.98247371056584876</v>
      </c>
      <c r="F30" s="110">
        <f t="shared" si="31"/>
        <v>0.91630861199327485</v>
      </c>
      <c r="G30" s="110">
        <f t="shared" si="31"/>
        <v>14.587360594795539</v>
      </c>
      <c r="H30" s="110">
        <f t="shared" si="31"/>
        <v>12.74025974025974</v>
      </c>
      <c r="I30" s="110">
        <f t="shared" si="31"/>
        <v>11.380510440835266</v>
      </c>
      <c r="J30" s="110">
        <f t="shared" ref="J30:J33" si="35">IF($E13/O13&lt;0,"NM",$E13/O13)</f>
        <v>41.96078431372549</v>
      </c>
      <c r="K30" s="110">
        <f t="shared" si="32"/>
        <v>30.74712643678161</v>
      </c>
      <c r="L30" s="110">
        <f t="shared" si="32"/>
        <v>23.505413463047233</v>
      </c>
    </row>
    <row r="31" spans="2:22" x14ac:dyDescent="0.2">
      <c r="B31" t="str">
        <f t="shared" si="33"/>
        <v>Elior Group</v>
      </c>
      <c r="C31" t="str">
        <f t="shared" si="34"/>
        <v>ELIOR</v>
      </c>
      <c r="D31" s="110">
        <f t="shared" si="31"/>
        <v>0.27210884353741499</v>
      </c>
      <c r="E31" s="110">
        <f t="shared" si="31"/>
        <v>0.26909600560616681</v>
      </c>
      <c r="F31" s="110">
        <f t="shared" si="31"/>
        <v>0.26118895388382535</v>
      </c>
      <c r="G31" s="110">
        <f t="shared" si="31"/>
        <v>5.1336898395721926</v>
      </c>
      <c r="H31" s="110">
        <f t="shared" si="31"/>
        <v>4.9357326478149099</v>
      </c>
      <c r="I31" s="110">
        <f t="shared" si="31"/>
        <v>4.3340857787810387</v>
      </c>
      <c r="J31" s="110">
        <f t="shared" si="35"/>
        <v>8.1052631578947363</v>
      </c>
      <c r="K31" s="110">
        <f t="shared" si="32"/>
        <v>28</v>
      </c>
      <c r="L31" s="110">
        <f t="shared" si="32"/>
        <v>9.1940298507462686</v>
      </c>
    </row>
    <row r="32" spans="2:22" x14ac:dyDescent="0.2">
      <c r="B32" t="str">
        <f t="shared" si="33"/>
        <v>ISS Group</v>
      </c>
      <c r="C32" t="str">
        <f t="shared" si="34"/>
        <v>ISS</v>
      </c>
      <c r="D32" s="110">
        <f t="shared" si="31"/>
        <v>0.70137825421133226</v>
      </c>
      <c r="E32" s="110">
        <f t="shared" si="31"/>
        <v>0.65795144375808079</v>
      </c>
      <c r="F32" s="110">
        <f t="shared" si="31"/>
        <v>0.62487209223002937</v>
      </c>
      <c r="G32" s="110">
        <f t="shared" si="31"/>
        <v>10.385487528344671</v>
      </c>
      <c r="H32" s="110">
        <f t="shared" si="31"/>
        <v>9.3948717948717952</v>
      </c>
      <c r="I32" s="110">
        <f t="shared" si="31"/>
        <v>8.8416988416988413</v>
      </c>
      <c r="J32" s="110">
        <f t="shared" si="35"/>
        <v>17.331670822942645</v>
      </c>
      <c r="K32" s="110">
        <f t="shared" si="32"/>
        <v>14.946236559139784</v>
      </c>
      <c r="L32" s="110">
        <f t="shared" si="32"/>
        <v>13.9</v>
      </c>
    </row>
    <row r="33" spans="2:13" x14ac:dyDescent="0.2">
      <c r="B33" t="str">
        <f t="shared" si="33"/>
        <v>SSP Group</v>
      </c>
      <c r="C33" t="str">
        <f t="shared" si="34"/>
        <v>SSPG</v>
      </c>
      <c r="D33" s="110">
        <f t="shared" si="31"/>
        <v>1.248329323710238</v>
      </c>
      <c r="E33" s="110">
        <f t="shared" si="31"/>
        <v>0.92585249801744651</v>
      </c>
      <c r="F33" s="110">
        <f t="shared" si="31"/>
        <v>0.86545589325426242</v>
      </c>
      <c r="G33" s="110">
        <f t="shared" si="31"/>
        <v>5.7654320987654319</v>
      </c>
      <c r="H33" s="110">
        <f t="shared" si="31"/>
        <v>4.6467661691542288</v>
      </c>
      <c r="I33" s="110">
        <f t="shared" si="31"/>
        <v>4.3644859813084116</v>
      </c>
      <c r="J33" s="118" t="str">
        <f t="shared" si="35"/>
        <v>NM</v>
      </c>
      <c r="K33" s="110">
        <f t="shared" si="32"/>
        <v>16.19047619047619</v>
      </c>
      <c r="L33" s="110">
        <f t="shared" si="32"/>
        <v>13.509933774834437</v>
      </c>
    </row>
    <row r="35" spans="2:13" x14ac:dyDescent="0.2">
      <c r="B35" s="85" t="s">
        <v>810</v>
      </c>
      <c r="C35" s="91"/>
      <c r="D35" s="111">
        <f>MAX(D29:D33)</f>
        <v>1.248329323710238</v>
      </c>
      <c r="E35" s="111">
        <f t="shared" ref="E35:L35" si="36">MAX(E29:E33)</f>
        <v>0.98247371056584876</v>
      </c>
      <c r="F35" s="111">
        <f t="shared" si="36"/>
        <v>0.91630861199327485</v>
      </c>
      <c r="G35" s="111">
        <f t="shared" si="36"/>
        <v>14.587360594795539</v>
      </c>
      <c r="H35" s="111">
        <f t="shared" si="36"/>
        <v>12.74025974025974</v>
      </c>
      <c r="I35" s="111">
        <f t="shared" si="36"/>
        <v>11.380510440835266</v>
      </c>
      <c r="J35" s="111">
        <f t="shared" si="36"/>
        <v>41.96078431372549</v>
      </c>
      <c r="K35" s="111">
        <f t="shared" si="36"/>
        <v>33.379790940766547</v>
      </c>
      <c r="L35" s="114">
        <f t="shared" si="36"/>
        <v>26.246575342465754</v>
      </c>
    </row>
    <row r="36" spans="2:13" x14ac:dyDescent="0.2">
      <c r="B36" s="86" t="s">
        <v>811</v>
      </c>
      <c r="C36" s="92"/>
      <c r="D36" s="110">
        <f>QUARTILE(D29:D33,3)</f>
        <v>1.0106108993509839</v>
      </c>
      <c r="E36" s="110">
        <f t="shared" ref="E36:L36" si="37">QUARTILE(E29:E33,3)</f>
        <v>0.92585249801744651</v>
      </c>
      <c r="F36" s="110">
        <f t="shared" si="37"/>
        <v>0.86545589325426242</v>
      </c>
      <c r="G36" s="110">
        <f t="shared" si="37"/>
        <v>10.385487528344671</v>
      </c>
      <c r="H36" s="110">
        <f t="shared" si="37"/>
        <v>9.3948717948717952</v>
      </c>
      <c r="I36" s="110">
        <f t="shared" si="37"/>
        <v>8.8416988416988413</v>
      </c>
      <c r="J36" s="110">
        <f t="shared" si="37"/>
        <v>24.360852449087744</v>
      </c>
      <c r="K36" s="110">
        <f t="shared" si="37"/>
        <v>30.74712643678161</v>
      </c>
      <c r="L36" s="115">
        <f t="shared" si="37"/>
        <v>23.505413463047233</v>
      </c>
    </row>
    <row r="37" spans="2:13" x14ac:dyDescent="0.2">
      <c r="B37" s="104" t="s">
        <v>812</v>
      </c>
      <c r="C37" s="105"/>
      <c r="D37" s="113">
        <f>MEDIAN(D29:D33)</f>
        <v>0.70137825421133226</v>
      </c>
      <c r="E37" s="113">
        <f t="shared" ref="E37:L37" si="38">MEDIAN(E29:E33)</f>
        <v>0.65795144375808079</v>
      </c>
      <c r="F37" s="113">
        <f t="shared" si="38"/>
        <v>0.62487209223002937</v>
      </c>
      <c r="G37" s="113">
        <f t="shared" si="38"/>
        <v>8.764940239043824</v>
      </c>
      <c r="H37" s="113">
        <f t="shared" si="38"/>
        <v>8.9673913043478262</v>
      </c>
      <c r="I37" s="113">
        <f t="shared" si="38"/>
        <v>8.5436893203883493</v>
      </c>
      <c r="J37" s="113">
        <f t="shared" si="38"/>
        <v>17.912939658575567</v>
      </c>
      <c r="K37" s="113">
        <f t="shared" si="38"/>
        <v>28</v>
      </c>
      <c r="L37" s="116">
        <f t="shared" si="38"/>
        <v>13.9</v>
      </c>
    </row>
    <row r="38" spans="2:13" x14ac:dyDescent="0.2">
      <c r="B38" s="86" t="s">
        <v>813</v>
      </c>
      <c r="C38" s="93"/>
      <c r="D38" s="110">
        <f>QUARTILE(D29:D33,1)</f>
        <v>0.48451035090295108</v>
      </c>
      <c r="E38" s="110">
        <f t="shared" ref="E38:L38" si="39">QUARTILE(E29:E33,1)</f>
        <v>0.48010475012730053</v>
      </c>
      <c r="F38" s="110">
        <f t="shared" si="39"/>
        <v>0.46398818939154274</v>
      </c>
      <c r="G38" s="110">
        <f t="shared" si="39"/>
        <v>5.7654320987654319</v>
      </c>
      <c r="H38" s="110">
        <f t="shared" si="39"/>
        <v>4.9357326478149099</v>
      </c>
      <c r="I38" s="110">
        <f t="shared" si="39"/>
        <v>4.3644859813084116</v>
      </c>
      <c r="J38" s="110">
        <f t="shared" si="39"/>
        <v>15.025068906680668</v>
      </c>
      <c r="K38" s="110">
        <f t="shared" si="39"/>
        <v>16.19047619047619</v>
      </c>
      <c r="L38" s="115">
        <f t="shared" si="39"/>
        <v>13.509933774834437</v>
      </c>
    </row>
    <row r="39" spans="2:13" x14ac:dyDescent="0.2">
      <c r="B39" s="87" t="s">
        <v>814</v>
      </c>
      <c r="C39" s="94"/>
      <c r="D39" s="112">
        <f>MIN(D29:D33)</f>
        <v>0.27210884353741499</v>
      </c>
      <c r="E39" s="112">
        <f t="shared" ref="E39:L39" si="40">MIN(E29:E33)</f>
        <v>0.26909600560616681</v>
      </c>
      <c r="F39" s="112">
        <f t="shared" si="40"/>
        <v>0.26118895388382535</v>
      </c>
      <c r="G39" s="112">
        <f t="shared" si="40"/>
        <v>5.1336898395721926</v>
      </c>
      <c r="H39" s="112">
        <f t="shared" si="40"/>
        <v>4.6467661691542288</v>
      </c>
      <c r="I39" s="112">
        <f t="shared" si="40"/>
        <v>4.3340857787810387</v>
      </c>
      <c r="J39" s="112">
        <f t="shared" si="40"/>
        <v>8.1052631578947363</v>
      </c>
      <c r="K39" s="112">
        <f t="shared" si="40"/>
        <v>14.946236559139784</v>
      </c>
      <c r="L39" s="117">
        <f t="shared" si="40"/>
        <v>9.1940298507462686</v>
      </c>
    </row>
    <row r="41" spans="2:13" x14ac:dyDescent="0.2">
      <c r="B41" s="276" t="s">
        <v>44</v>
      </c>
      <c r="C41" s="277" t="s">
        <v>821</v>
      </c>
      <c r="D41" s="278">
        <f>IF($H24/I24&lt;0,"NM",$H24/I24)</f>
        <v>1.2978106630916779</v>
      </c>
      <c r="E41" s="278">
        <f t="shared" ref="E41:I41" si="41">IF($H24/J24&lt;0,"NM",$H24/J24)</f>
        <v>1.2646687006085746</v>
      </c>
      <c r="F41" s="278">
        <f t="shared" si="41"/>
        <v>1.1747967492880393</v>
      </c>
      <c r="G41" s="278">
        <f t="shared" si="41"/>
        <v>14.067594455622624</v>
      </c>
      <c r="H41" s="278">
        <f t="shared" si="41"/>
        <v>13.909882366312104</v>
      </c>
      <c r="I41" s="278">
        <f t="shared" si="41"/>
        <v>12.850271279169016</v>
      </c>
      <c r="J41" s="278">
        <f t="shared" ref="J41" si="42">IF($E24/O24&lt;0,"NM",$E24/O24)</f>
        <v>28.048736372646182</v>
      </c>
      <c r="K41" s="278">
        <f t="shared" ref="K41" si="43">IF($E24/P24&lt;0,"NM",$E24/P24)</f>
        <v>26.630079069366815</v>
      </c>
      <c r="L41" s="279">
        <f t="shared" ref="L41" si="44">IF($E24/Q24&lt;0,"NM",$E24/Q24)</f>
        <v>24.018738887841128</v>
      </c>
    </row>
    <row r="45" spans="2:13" x14ac:dyDescent="0.2">
      <c r="B45" s="6"/>
      <c r="C45" s="6"/>
      <c r="D45" s="6" t="s">
        <v>888</v>
      </c>
      <c r="E45" s="6"/>
      <c r="F45" s="6" t="s">
        <v>889</v>
      </c>
      <c r="G45" s="6"/>
      <c r="H45" s="6" t="s">
        <v>890</v>
      </c>
      <c r="I45" s="6"/>
      <c r="J45" s="6" t="s">
        <v>888</v>
      </c>
      <c r="K45" s="6"/>
      <c r="L45" s="6" t="s">
        <v>889</v>
      </c>
      <c r="M45" s="6"/>
    </row>
    <row r="46" spans="2:13" x14ac:dyDescent="0.2">
      <c r="B46" s="6"/>
      <c r="C46" s="6" t="s">
        <v>810</v>
      </c>
      <c r="D46" s="6" t="s">
        <v>891</v>
      </c>
      <c r="E46" s="6" t="s">
        <v>812</v>
      </c>
      <c r="F46" s="6" t="s">
        <v>891</v>
      </c>
      <c r="G46" s="6" t="s">
        <v>814</v>
      </c>
      <c r="H46" s="6" t="s">
        <v>892</v>
      </c>
      <c r="I46" s="6" t="s">
        <v>810</v>
      </c>
      <c r="J46" s="6" t="s">
        <v>891</v>
      </c>
      <c r="K46" s="6" t="s">
        <v>812</v>
      </c>
      <c r="L46" s="6" t="s">
        <v>891</v>
      </c>
      <c r="M46" s="6" t="s">
        <v>814</v>
      </c>
    </row>
    <row r="47" spans="2:13" x14ac:dyDescent="0.2">
      <c r="B47" s="6" t="s">
        <v>893</v>
      </c>
      <c r="C47" s="6" t="s">
        <v>894</v>
      </c>
      <c r="D47" s="6" t="s">
        <v>894</v>
      </c>
      <c r="E47" s="6" t="s">
        <v>894</v>
      </c>
      <c r="F47" s="6" t="s">
        <v>894</v>
      </c>
      <c r="G47" s="6" t="s">
        <v>894</v>
      </c>
      <c r="H47" s="6" t="s">
        <v>895</v>
      </c>
      <c r="I47" s="6" t="s">
        <v>894</v>
      </c>
      <c r="J47" s="6" t="s">
        <v>894</v>
      </c>
      <c r="K47" s="6" t="s">
        <v>894</v>
      </c>
      <c r="L47" s="6" t="s">
        <v>894</v>
      </c>
      <c r="M47" s="6" t="s">
        <v>894</v>
      </c>
    </row>
    <row r="48" spans="2:13" x14ac:dyDescent="0.2">
      <c r="B48" s="19" t="s">
        <v>896</v>
      </c>
      <c r="C48" s="110" cm="1">
        <f t="array" ref="C48:G56">TRANSPOSE(D35:L39)</f>
        <v>1.248329323710238</v>
      </c>
      <c r="D48" s="110">
        <v>1.0106108993509839</v>
      </c>
      <c r="E48" s="110">
        <v>0.70137825421133226</v>
      </c>
      <c r="F48" s="110">
        <v>0.48451035090295108</v>
      </c>
      <c r="G48" s="110">
        <v>0.27210884353741499</v>
      </c>
      <c r="H48" s="96" cm="1">
        <f t="array" ref="H48:H56">TRANSPOSE(I24:Q24)</f>
        <v>48485</v>
      </c>
      <c r="I48" s="183">
        <f t="shared" ref="I48:M53" si="45">((C48*$H48)-SUM($D$59:$D$64))/$D$67</f>
        <v>30.365964851591535</v>
      </c>
      <c r="J48" s="183">
        <f t="shared" si="45"/>
        <v>23.908946473407539</v>
      </c>
      <c r="K48" s="183">
        <f t="shared" si="45"/>
        <v>15.509425577275319</v>
      </c>
      <c r="L48" s="183">
        <f t="shared" si="45"/>
        <v>9.6187587470753968</v>
      </c>
      <c r="M48" s="183">
        <f t="shared" si="45"/>
        <v>3.8494102402865917</v>
      </c>
    </row>
    <row r="49" spans="2:13" x14ac:dyDescent="0.2">
      <c r="B49" s="19" t="str">
        <f>"FY26 TEV / Revenue:"</f>
        <v>FY26 TEV / Revenue:</v>
      </c>
      <c r="C49" s="110">
        <v>0.98247371056584876</v>
      </c>
      <c r="D49" s="110">
        <v>0.92585249801744651</v>
      </c>
      <c r="E49" s="110">
        <v>0.65795144375808079</v>
      </c>
      <c r="F49" s="110">
        <v>0.48010475012730053</v>
      </c>
      <c r="G49" s="110">
        <v>0.26909600560616681</v>
      </c>
      <c r="H49" s="96">
        <v>49755.600000000006</v>
      </c>
      <c r="I49" s="183">
        <f t="shared" si="45"/>
        <v>23.844016220409046</v>
      </c>
      <c r="J49" s="183">
        <f t="shared" si="45"/>
        <v>22.265740364345582</v>
      </c>
      <c r="K49" s="183">
        <f t="shared" si="45"/>
        <v>14.798189834761663</v>
      </c>
      <c r="L49" s="183">
        <f t="shared" si="45"/>
        <v>9.8408402831562576</v>
      </c>
      <c r="M49" s="183">
        <f t="shared" si="45"/>
        <v>3.959122250161454</v>
      </c>
    </row>
    <row r="50" spans="2:13" x14ac:dyDescent="0.2">
      <c r="B50" s="19" t="str">
        <f>"FY27 TEV / Revenue:"</f>
        <v>FY27 TEV / Revenue:</v>
      </c>
      <c r="C50" s="110">
        <v>0.91630861199327485</v>
      </c>
      <c r="D50" s="110">
        <v>0.86545589325426242</v>
      </c>
      <c r="E50" s="110">
        <v>0.62487209223002937</v>
      </c>
      <c r="F50" s="110">
        <v>0.46398818939154274</v>
      </c>
      <c r="G50" s="110">
        <v>0.26118895388382535</v>
      </c>
      <c r="H50" s="96">
        <v>53561.90340000001</v>
      </c>
      <c r="I50" s="183">
        <f t="shared" si="45"/>
        <v>23.953632134550073</v>
      </c>
      <c r="J50" s="183">
        <f t="shared" si="45"/>
        <v>22.427711457392451</v>
      </c>
      <c r="K50" s="183">
        <f t="shared" si="45"/>
        <v>15.208593076403771</v>
      </c>
      <c r="L50" s="183">
        <f t="shared" si="45"/>
        <v>10.381003125451384</v>
      </c>
      <c r="M50" s="183">
        <f t="shared" si="45"/>
        <v>4.2956736790322188</v>
      </c>
    </row>
    <row r="51" spans="2:13" x14ac:dyDescent="0.2">
      <c r="B51" s="19" t="s">
        <v>897</v>
      </c>
      <c r="C51" s="110">
        <v>14.587360594795539</v>
      </c>
      <c r="D51" s="110">
        <v>10.385487528344671</v>
      </c>
      <c r="E51" s="110">
        <v>8.764940239043824</v>
      </c>
      <c r="F51" s="110">
        <v>5.7654320987654319</v>
      </c>
      <c r="G51" s="110">
        <v>5.1336898395721926</v>
      </c>
      <c r="H51" s="96">
        <v>4473</v>
      </c>
      <c r="I51" s="183">
        <f t="shared" si="45"/>
        <v>33.012472795809771</v>
      </c>
      <c r="J51" s="183">
        <f t="shared" si="45"/>
        <v>22.483073229291715</v>
      </c>
      <c r="K51" s="183">
        <f t="shared" si="45"/>
        <v>18.422172374926063</v>
      </c>
      <c r="L51" s="183">
        <f t="shared" si="45"/>
        <v>10.905757858699035</v>
      </c>
      <c r="M51" s="183">
        <f t="shared" si="45"/>
        <v>9.3226860797795066</v>
      </c>
    </row>
    <row r="52" spans="2:13" x14ac:dyDescent="0.2">
      <c r="B52" s="19" t="str">
        <f>"FY26 TEV / EBITDA:"</f>
        <v>FY26 TEV / EBITDA:</v>
      </c>
      <c r="C52" s="110">
        <v>12.74025974025974</v>
      </c>
      <c r="D52" s="110">
        <v>9.3948717948717952</v>
      </c>
      <c r="E52" s="110">
        <v>8.9673913043478262</v>
      </c>
      <c r="F52" s="110">
        <v>4.9357326478149099</v>
      </c>
      <c r="G52" s="110">
        <v>4.6467661691542288</v>
      </c>
      <c r="H52" s="96">
        <v>4523.7154666666665</v>
      </c>
      <c r="I52" s="183">
        <f t="shared" si="45"/>
        <v>28.745831953144894</v>
      </c>
      <c r="J52" s="183">
        <f t="shared" si="45"/>
        <v>20.267634087289615</v>
      </c>
      <c r="K52" s="183">
        <f t="shared" si="45"/>
        <v>19.184272682986236</v>
      </c>
      <c r="L52" s="183">
        <f t="shared" si="45"/>
        <v>8.966862811345619</v>
      </c>
      <c r="M52" s="183">
        <f t="shared" si="45"/>
        <v>8.2345366887318772</v>
      </c>
    </row>
    <row r="53" spans="2:13" x14ac:dyDescent="0.2">
      <c r="B53" s="19" t="str">
        <f>"FY27 TEV / EBITDA:"</f>
        <v>FY27 TEV / EBITDA:</v>
      </c>
      <c r="C53" s="110">
        <v>11.380510440835266</v>
      </c>
      <c r="D53" s="110">
        <v>8.8416988416988413</v>
      </c>
      <c r="E53" s="110">
        <v>8.5436893203883493</v>
      </c>
      <c r="F53" s="110">
        <v>4.3644859813084116</v>
      </c>
      <c r="G53" s="110">
        <v>4.3340857787810387</v>
      </c>
      <c r="H53" s="96">
        <v>4896.733199866665</v>
      </c>
      <c r="I53" s="183">
        <f t="shared" si="45"/>
        <v>27.678052272866815</v>
      </c>
      <c r="J53" s="183">
        <f t="shared" si="45"/>
        <v>20.713411911131288</v>
      </c>
      <c r="K53" s="183">
        <f t="shared" si="45"/>
        <v>19.895891957698542</v>
      </c>
      <c r="L53" s="183">
        <f t="shared" si="45"/>
        <v>8.4312175938518426</v>
      </c>
      <c r="M53" s="183">
        <f t="shared" si="45"/>
        <v>8.3478216941328203</v>
      </c>
    </row>
    <row r="54" spans="2:13" x14ac:dyDescent="0.2">
      <c r="B54" s="19" t="s">
        <v>898</v>
      </c>
      <c r="C54" s="110">
        <v>41.96078431372549</v>
      </c>
      <c r="D54" s="110">
        <v>24.360852449087744</v>
      </c>
      <c r="E54" s="110">
        <v>17.912939658575567</v>
      </c>
      <c r="F54" s="110">
        <v>15.025068906680668</v>
      </c>
      <c r="G54" s="110">
        <v>8.1052631578947363</v>
      </c>
      <c r="H54" s="96">
        <v>2018</v>
      </c>
      <c r="I54" s="183">
        <f t="shared" ref="I54:M56" si="46">(C54*$H54)/$D$67</f>
        <v>47.438018344592741</v>
      </c>
      <c r="J54" s="183">
        <f t="shared" si="46"/>
        <v>27.540728427035891</v>
      </c>
      <c r="K54" s="183">
        <f t="shared" si="46"/>
        <v>20.251155311487672</v>
      </c>
      <c r="L54" s="183">
        <f t="shared" si="46"/>
        <v>16.986324399821616</v>
      </c>
      <c r="M54" s="183">
        <f t="shared" si="46"/>
        <v>9.1632610939112489</v>
      </c>
    </row>
    <row r="55" spans="2:13" x14ac:dyDescent="0.2">
      <c r="B55" s="19" t="str">
        <f>"FY 26 P / E:"</f>
        <v>FY 26 P / E:</v>
      </c>
      <c r="C55" s="110">
        <v>33.379790940766547</v>
      </c>
      <c r="D55" s="110">
        <v>30.74712643678161</v>
      </c>
      <c r="E55" s="110">
        <v>28</v>
      </c>
      <c r="F55" s="110">
        <v>16.19047619047619</v>
      </c>
      <c r="G55" s="110">
        <v>14.946236559139784</v>
      </c>
      <c r="H55" s="96">
        <v>2125.5043912021638</v>
      </c>
      <c r="I55" s="183">
        <f t="shared" si="46"/>
        <v>39.74727855574762</v>
      </c>
      <c r="J55" s="183">
        <f t="shared" si="46"/>
        <v>36.612410228698849</v>
      </c>
      <c r="K55" s="183">
        <f t="shared" si="46"/>
        <v>33.341245352190803</v>
      </c>
      <c r="L55" s="183">
        <f t="shared" si="46"/>
        <v>19.278951394123936</v>
      </c>
      <c r="M55" s="183">
        <f t="shared" si="46"/>
        <v>17.797362150362986</v>
      </c>
    </row>
    <row r="56" spans="2:13" x14ac:dyDescent="0.2">
      <c r="B56" s="19" t="str">
        <f>"FY 27 P / E:"</f>
        <v>FY 27 P / E:</v>
      </c>
      <c r="C56" s="110">
        <v>26.246575342465754</v>
      </c>
      <c r="D56" s="110">
        <v>23.505413463047233</v>
      </c>
      <c r="E56" s="110">
        <v>13.9</v>
      </c>
      <c r="F56" s="110">
        <v>13.509933774834437</v>
      </c>
      <c r="G56" s="110">
        <v>9.1940298507462686</v>
      </c>
      <c r="H56" s="96">
        <v>2356.5912542000069</v>
      </c>
      <c r="I56" s="183">
        <f t="shared" si="46"/>
        <v>34.651232439639408</v>
      </c>
      <c r="J56" s="183">
        <f t="shared" si="46"/>
        <v>31.032297923457818</v>
      </c>
      <c r="K56" s="183">
        <f t="shared" si="46"/>
        <v>18.35104674138941</v>
      </c>
      <c r="L56" s="183">
        <f t="shared" si="46"/>
        <v>17.836073825544045</v>
      </c>
      <c r="M56" s="183">
        <f t="shared" si="46"/>
        <v>12.138134642645632</v>
      </c>
    </row>
    <row r="58" spans="2:13" x14ac:dyDescent="0.2">
      <c r="B58" s="284" t="s">
        <v>876</v>
      </c>
      <c r="C58" s="285" t="s">
        <v>881</v>
      </c>
      <c r="D58" s="286">
        <f>DCF!E8*DCF!E9</f>
        <v>56602.35</v>
      </c>
    </row>
    <row r="59" spans="2:13" x14ac:dyDescent="0.2">
      <c r="B59" s="171" t="s">
        <v>877</v>
      </c>
      <c r="C59" s="178" t="s">
        <v>881</v>
      </c>
      <c r="D59" s="182">
        <f>DCF!E14</f>
        <v>-575</v>
      </c>
      <c r="F59" s="180"/>
      <c r="H59" s="59"/>
    </row>
    <row r="60" spans="2:13" x14ac:dyDescent="0.2">
      <c r="B60" s="171" t="s">
        <v>882</v>
      </c>
      <c r="C60" s="178" t="s">
        <v>881</v>
      </c>
      <c r="D60" s="182">
        <f>DCF!E15</f>
        <v>5426</v>
      </c>
      <c r="F60" s="180"/>
    </row>
    <row r="61" spans="2:13" x14ac:dyDescent="0.2">
      <c r="B61" s="17" t="s">
        <v>878</v>
      </c>
      <c r="C61" s="178" t="s">
        <v>881</v>
      </c>
      <c r="D61" s="182">
        <f>DCF!E16</f>
        <v>0</v>
      </c>
      <c r="F61" s="180"/>
    </row>
    <row r="62" spans="2:13" x14ac:dyDescent="0.2">
      <c r="B62" s="171" t="s">
        <v>883</v>
      </c>
      <c r="C62" s="178" t="s">
        <v>881</v>
      </c>
      <c r="D62" s="182">
        <f>DCF!E17</f>
        <v>1566</v>
      </c>
      <c r="F62" s="180"/>
    </row>
    <row r="63" spans="2:13" x14ac:dyDescent="0.2">
      <c r="B63" s="171" t="s">
        <v>879</v>
      </c>
      <c r="C63" s="178" t="s">
        <v>881</v>
      </c>
      <c r="D63" s="182">
        <f>DCF!E18</f>
        <v>107</v>
      </c>
      <c r="F63" s="180"/>
    </row>
    <row r="64" spans="2:13" x14ac:dyDescent="0.2">
      <c r="B64" s="171" t="s">
        <v>886</v>
      </c>
      <c r="C64" s="178" t="s">
        <v>881</v>
      </c>
      <c r="D64" s="182">
        <f>DCF!E19</f>
        <v>-202</v>
      </c>
      <c r="F64" s="180"/>
    </row>
    <row r="65" spans="2:6" x14ac:dyDescent="0.2">
      <c r="B65" s="287" t="s">
        <v>880</v>
      </c>
      <c r="C65" s="288" t="s">
        <v>881</v>
      </c>
      <c r="D65" s="289">
        <f>SUM(D58:D64)</f>
        <v>62924.35</v>
      </c>
      <c r="F65" s="180"/>
    </row>
    <row r="66" spans="2:6" x14ac:dyDescent="0.2">
      <c r="F66" s="180"/>
    </row>
    <row r="67" spans="2:6" x14ac:dyDescent="0.2">
      <c r="B67" s="171" t="s">
        <v>866</v>
      </c>
      <c r="D67" s="181">
        <f>DCF!E9</f>
        <v>1785</v>
      </c>
      <c r="F67" s="180"/>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E0D378-CB3B-FE4E-8F0F-A68BC5B4D166}">
  <dimension ref="B2:U308"/>
  <sheetViews>
    <sheetView showGridLines="0" zoomScale="89" zoomScaleNormal="70" workbookViewId="0"/>
  </sheetViews>
  <sheetFormatPr baseColWidth="10" defaultRowHeight="16" x14ac:dyDescent="0.2"/>
  <cols>
    <col min="1" max="2" width="2.6640625" customWidth="1"/>
    <col min="3" max="3" width="48.5" customWidth="1"/>
    <col min="4" max="15" width="11.83203125" customWidth="1"/>
  </cols>
  <sheetData>
    <row r="2" spans="2:5" x14ac:dyDescent="0.2">
      <c r="B2" s="2" t="s">
        <v>902</v>
      </c>
      <c r="C2" s="2"/>
      <c r="D2" s="206" t="s">
        <v>3</v>
      </c>
      <c r="E2" s="2"/>
    </row>
    <row r="3" spans="2:5" x14ac:dyDescent="0.2">
      <c r="C3" s="5" t="s">
        <v>1</v>
      </c>
      <c r="D3" s="53" t="s">
        <v>832</v>
      </c>
      <c r="E3" s="500" t="str">
        <f>Valuation_Summary!E2</f>
        <v>Compass Group</v>
      </c>
    </row>
    <row r="4" spans="2:5" x14ac:dyDescent="0.2">
      <c r="C4" s="5" t="s">
        <v>2</v>
      </c>
      <c r="D4" s="53" t="s">
        <v>870</v>
      </c>
      <c r="E4" s="501">
        <f>Valuation_Summary!E5</f>
        <v>45930</v>
      </c>
    </row>
    <row r="5" spans="2:5" x14ac:dyDescent="0.2">
      <c r="C5" s="5"/>
      <c r="E5" s="181"/>
    </row>
    <row r="6" spans="2:5" x14ac:dyDescent="0.2">
      <c r="C6" s="5" t="s">
        <v>903</v>
      </c>
      <c r="D6" s="49" t="s">
        <v>71</v>
      </c>
      <c r="E6" s="184">
        <f>Valuation_Summary!E6</f>
        <v>31.71</v>
      </c>
    </row>
    <row r="7" spans="2:5" x14ac:dyDescent="0.2">
      <c r="C7" s="19" t="s">
        <v>904</v>
      </c>
      <c r="D7" s="53" t="s">
        <v>692</v>
      </c>
      <c r="E7" s="61">
        <v>0.25</v>
      </c>
    </row>
    <row r="8" spans="2:5" x14ac:dyDescent="0.2">
      <c r="C8" s="5" t="s">
        <v>905</v>
      </c>
      <c r="D8" s="49" t="s">
        <v>71</v>
      </c>
      <c r="E8" s="59">
        <f>E6*(1+E7)</f>
        <v>39.637500000000003</v>
      </c>
    </row>
    <row r="9" spans="2:5" x14ac:dyDescent="0.2">
      <c r="C9" s="5"/>
    </row>
    <row r="10" spans="2:5" x14ac:dyDescent="0.2">
      <c r="C10" s="5" t="s">
        <v>866</v>
      </c>
      <c r="D10" s="49" t="s">
        <v>872</v>
      </c>
      <c r="E10" s="181">
        <f>DCF!E9</f>
        <v>1785</v>
      </c>
    </row>
    <row r="12" spans="2:5" x14ac:dyDescent="0.2">
      <c r="C12" s="284" t="s">
        <v>906</v>
      </c>
      <c r="D12" s="285" t="s">
        <v>881</v>
      </c>
      <c r="E12" s="286">
        <f>E8*E10</f>
        <v>70752.9375</v>
      </c>
    </row>
    <row r="13" spans="2:5" x14ac:dyDescent="0.2">
      <c r="C13" s="171" t="s">
        <v>877</v>
      </c>
      <c r="D13" s="178" t="s">
        <v>881</v>
      </c>
      <c r="E13" s="182">
        <f>DCF!E14</f>
        <v>-575</v>
      </c>
    </row>
    <row r="14" spans="2:5" x14ac:dyDescent="0.2">
      <c r="C14" s="171" t="s">
        <v>882</v>
      </c>
      <c r="D14" s="178" t="s">
        <v>881</v>
      </c>
      <c r="E14" s="182">
        <f>DCF!E15</f>
        <v>5426</v>
      </c>
    </row>
    <row r="15" spans="2:5" x14ac:dyDescent="0.2">
      <c r="C15" s="17" t="s">
        <v>878</v>
      </c>
      <c r="D15" s="178" t="s">
        <v>881</v>
      </c>
      <c r="E15" s="182">
        <f>DCF!E16</f>
        <v>0</v>
      </c>
    </row>
    <row r="16" spans="2:5" x14ac:dyDescent="0.2">
      <c r="C16" s="171" t="s">
        <v>883</v>
      </c>
      <c r="D16" s="178" t="s">
        <v>881</v>
      </c>
      <c r="E16" s="182">
        <f>DCF!E17</f>
        <v>1566</v>
      </c>
    </row>
    <row r="17" spans="3:14" x14ac:dyDescent="0.2">
      <c r="C17" s="171" t="s">
        <v>879</v>
      </c>
      <c r="D17" s="178" t="s">
        <v>881</v>
      </c>
      <c r="E17" s="182">
        <f>DCF!E18</f>
        <v>107</v>
      </c>
    </row>
    <row r="18" spans="3:14" x14ac:dyDescent="0.2">
      <c r="C18" s="171" t="s">
        <v>886</v>
      </c>
      <c r="D18" s="178" t="s">
        <v>881</v>
      </c>
      <c r="E18" s="182">
        <f>DCF!E19</f>
        <v>-202</v>
      </c>
    </row>
    <row r="19" spans="3:14" x14ac:dyDescent="0.2">
      <c r="C19" s="287" t="s">
        <v>907</v>
      </c>
      <c r="D19" s="288" t="s">
        <v>881</v>
      </c>
      <c r="E19" s="540">
        <f>SUM(E12:E18)</f>
        <v>77074.9375</v>
      </c>
    </row>
    <row r="20" spans="3:14" x14ac:dyDescent="0.2">
      <c r="G20" s="5" t="s">
        <v>916</v>
      </c>
      <c r="H20" s="5"/>
      <c r="I20" s="5"/>
      <c r="J20" s="5"/>
      <c r="K20" s="5"/>
      <c r="L20" s="5"/>
      <c r="M20" s="53" t="s">
        <v>832</v>
      </c>
      <c r="N20" s="209" t="s">
        <v>923</v>
      </c>
    </row>
    <row r="21" spans="3:14" x14ac:dyDescent="0.2">
      <c r="C21" s="5" t="s">
        <v>774</v>
      </c>
      <c r="D21" s="53" t="s">
        <v>881</v>
      </c>
      <c r="E21" s="22">
        <f>G67-G64</f>
        <v>4154</v>
      </c>
      <c r="G21" t="s">
        <v>937</v>
      </c>
      <c r="M21" s="53" t="s">
        <v>692</v>
      </c>
      <c r="N21" s="207">
        <v>0.1</v>
      </c>
    </row>
    <row r="22" spans="3:14" x14ac:dyDescent="0.2">
      <c r="C22" s="5" t="s">
        <v>908</v>
      </c>
      <c r="D22" s="53" t="s">
        <v>909</v>
      </c>
      <c r="E22" s="110">
        <f>E19/E21</f>
        <v>18.554390346653829</v>
      </c>
      <c r="G22" s="5" t="s">
        <v>918</v>
      </c>
      <c r="H22" s="5"/>
      <c r="I22" s="5"/>
      <c r="J22" s="5"/>
      <c r="K22" s="5"/>
      <c r="L22" s="5"/>
      <c r="M22" s="53" t="s">
        <v>881</v>
      </c>
      <c r="N22" s="208">
        <v>300</v>
      </c>
    </row>
    <row r="23" spans="3:14" x14ac:dyDescent="0.2">
      <c r="G23" s="5" t="s">
        <v>919</v>
      </c>
      <c r="H23" s="5"/>
      <c r="I23" s="5"/>
      <c r="J23" s="5"/>
      <c r="K23" s="5"/>
      <c r="L23" s="5"/>
      <c r="M23" s="53" t="s">
        <v>692</v>
      </c>
      <c r="N23" s="217">
        <f>'3_Statment_model'!H21</f>
        <v>0.27679137729257119</v>
      </c>
    </row>
    <row r="24" spans="3:14" x14ac:dyDescent="0.2">
      <c r="C24" t="s">
        <v>910</v>
      </c>
      <c r="D24" s="53" t="s">
        <v>881</v>
      </c>
      <c r="E24" s="37">
        <f>E21-G65-G66</f>
        <v>4485</v>
      </c>
      <c r="G24" s="5"/>
      <c r="H24" s="5"/>
      <c r="I24" s="5"/>
      <c r="J24" s="5"/>
      <c r="K24" s="5"/>
      <c r="L24" s="5"/>
      <c r="M24" s="5"/>
      <c r="N24" s="5"/>
    </row>
    <row r="25" spans="3:14" x14ac:dyDescent="0.2">
      <c r="C25" t="s">
        <v>911</v>
      </c>
      <c r="D25" s="53" t="s">
        <v>909</v>
      </c>
      <c r="E25" s="110">
        <f>E19/E24</f>
        <v>17.185047380156075</v>
      </c>
      <c r="G25" s="5" t="s">
        <v>920</v>
      </c>
      <c r="H25" s="5"/>
      <c r="I25" s="5"/>
      <c r="J25" s="5"/>
      <c r="K25" s="5"/>
      <c r="L25" s="5"/>
      <c r="M25" s="53" t="s">
        <v>870</v>
      </c>
      <c r="N25" s="387">
        <v>47756</v>
      </c>
    </row>
    <row r="26" spans="3:14" x14ac:dyDescent="0.2">
      <c r="G26" s="5"/>
      <c r="H26" s="5"/>
      <c r="I26" s="5"/>
      <c r="J26" s="5"/>
      <c r="K26" s="5"/>
      <c r="L26" s="5"/>
      <c r="M26" s="5"/>
      <c r="N26" s="210"/>
    </row>
    <row r="27" spans="3:14" x14ac:dyDescent="0.2">
      <c r="C27" s="5" t="s">
        <v>942</v>
      </c>
      <c r="D27" s="53" t="s">
        <v>692</v>
      </c>
      <c r="E27" s="207">
        <v>0.01</v>
      </c>
      <c r="G27" s="5" t="s">
        <v>921</v>
      </c>
      <c r="H27" s="5"/>
      <c r="I27" s="5"/>
      <c r="J27" s="5"/>
      <c r="K27" s="5"/>
      <c r="L27" s="5"/>
      <c r="M27" s="5"/>
      <c r="N27" s="5"/>
    </row>
    <row r="28" spans="3:14" x14ac:dyDescent="0.2">
      <c r="C28" s="5" t="s">
        <v>912</v>
      </c>
      <c r="D28" s="53" t="s">
        <v>692</v>
      </c>
      <c r="E28" s="207">
        <v>0.02</v>
      </c>
      <c r="G28" s="19" t="s">
        <v>922</v>
      </c>
      <c r="H28" s="19"/>
      <c r="I28" s="19"/>
      <c r="J28" s="19"/>
      <c r="K28" s="5"/>
      <c r="L28" s="5"/>
      <c r="M28" s="53" t="s">
        <v>909</v>
      </c>
      <c r="N28" s="211">
        <v>17.5</v>
      </c>
    </row>
    <row r="29" spans="3:14" x14ac:dyDescent="0.2">
      <c r="C29" s="5" t="s">
        <v>913</v>
      </c>
      <c r="D29" s="53" t="s">
        <v>914</v>
      </c>
      <c r="E29" s="7">
        <v>7</v>
      </c>
      <c r="G29" s="19" t="s">
        <v>923</v>
      </c>
      <c r="H29" s="19"/>
      <c r="I29" s="19"/>
      <c r="J29" s="19"/>
      <c r="K29" s="5"/>
      <c r="L29" s="5"/>
      <c r="M29" s="53" t="s">
        <v>909</v>
      </c>
      <c r="N29" s="211">
        <v>15</v>
      </c>
    </row>
    <row r="30" spans="3:14" x14ac:dyDescent="0.2">
      <c r="C30" s="5"/>
      <c r="D30" s="5"/>
      <c r="E30" s="5"/>
      <c r="G30" s="212" t="s">
        <v>917</v>
      </c>
      <c r="H30" s="212"/>
      <c r="I30" s="212"/>
      <c r="J30" s="212"/>
      <c r="K30" s="213"/>
      <c r="L30" s="213"/>
      <c r="M30" s="214" t="s">
        <v>909</v>
      </c>
      <c r="N30" s="215">
        <v>13</v>
      </c>
    </row>
    <row r="31" spans="3:14" x14ac:dyDescent="0.2">
      <c r="C31" s="5" t="s">
        <v>915</v>
      </c>
      <c r="D31" s="53" t="s">
        <v>881</v>
      </c>
      <c r="E31" s="208">
        <v>25</v>
      </c>
      <c r="G31" s="20" t="s">
        <v>924</v>
      </c>
      <c r="H31" s="20"/>
      <c r="I31" s="20"/>
      <c r="J31" s="20"/>
      <c r="K31" s="5"/>
      <c r="L31" s="5"/>
      <c r="M31" s="53" t="s">
        <v>909</v>
      </c>
      <c r="N31" s="216">
        <f>INDEX(N28:N30,MATCH(N20,$G28:$G30,0),1)</f>
        <v>15</v>
      </c>
    </row>
    <row r="33" spans="2:15" x14ac:dyDescent="0.2">
      <c r="B33" s="2" t="s">
        <v>925</v>
      </c>
      <c r="C33" s="2"/>
      <c r="D33" s="2"/>
      <c r="E33" s="2"/>
      <c r="F33" s="2"/>
      <c r="G33" s="2"/>
      <c r="H33" s="2"/>
      <c r="I33" s="2"/>
      <c r="J33" s="2"/>
      <c r="K33" s="2"/>
      <c r="L33" s="2"/>
    </row>
    <row r="35" spans="2:15" x14ac:dyDescent="0.2">
      <c r="C35" s="292" t="s">
        <v>926</v>
      </c>
      <c r="D35" s="308" t="s">
        <v>45</v>
      </c>
      <c r="E35" s="308" t="s">
        <v>927</v>
      </c>
      <c r="F35" s="309" t="s">
        <v>928</v>
      </c>
      <c r="G35" s="5"/>
      <c r="H35" s="292" t="s">
        <v>929</v>
      </c>
      <c r="I35" s="310"/>
      <c r="J35" s="310"/>
      <c r="K35" s="308" t="s">
        <v>45</v>
      </c>
      <c r="L35" s="308" t="s">
        <v>927</v>
      </c>
    </row>
    <row r="36" spans="2:15" x14ac:dyDescent="0.2">
      <c r="C36" s="19" t="s">
        <v>930</v>
      </c>
      <c r="D36" s="71">
        <f>E36*$E$24</f>
        <v>0</v>
      </c>
      <c r="E36" s="211">
        <v>0</v>
      </c>
      <c r="F36" s="218">
        <f>D36/$D$43</f>
        <v>0</v>
      </c>
      <c r="G36" s="5"/>
      <c r="H36" s="19" t="s">
        <v>906</v>
      </c>
      <c r="I36" s="5"/>
      <c r="J36" s="5"/>
      <c r="K36" s="71">
        <f>E12</f>
        <v>70752.9375</v>
      </c>
      <c r="L36" s="219">
        <f>K36/$E$24</f>
        <v>15.775459866220736</v>
      </c>
    </row>
    <row r="37" spans="2:15" x14ac:dyDescent="0.2">
      <c r="C37" s="19" t="s">
        <v>931</v>
      </c>
      <c r="D37" s="71">
        <f t="shared" ref="D37:D39" si="0">E37*$E$24</f>
        <v>8970</v>
      </c>
      <c r="E37" s="211">
        <v>2</v>
      </c>
      <c r="F37" s="222">
        <f t="shared" ref="F37:F42" si="1">D37/$D$43</f>
        <v>0.11575012480520093</v>
      </c>
      <c r="G37" s="5"/>
      <c r="H37" s="19" t="s">
        <v>932</v>
      </c>
      <c r="I37" s="5"/>
      <c r="J37" s="5"/>
      <c r="K37" s="71">
        <f>-G100-G107</f>
        <v>5426</v>
      </c>
      <c r="L37" s="220">
        <f t="shared" ref="L37:L39" si="2">K37/$E$24</f>
        <v>1.2098104793756967</v>
      </c>
    </row>
    <row r="38" spans="2:15" x14ac:dyDescent="0.2">
      <c r="C38" s="19" t="s">
        <v>933</v>
      </c>
      <c r="D38" s="71">
        <f t="shared" si="0"/>
        <v>13455</v>
      </c>
      <c r="E38" s="211">
        <v>3</v>
      </c>
      <c r="F38" s="222">
        <f t="shared" si="1"/>
        <v>0.1736251872078014</v>
      </c>
      <c r="G38" s="5"/>
      <c r="H38" s="19" t="s">
        <v>934</v>
      </c>
      <c r="I38" s="5"/>
      <c r="J38" s="5"/>
      <c r="K38" s="221">
        <f>E31+E27*E12</f>
        <v>732.52937499999996</v>
      </c>
      <c r="L38" s="220">
        <f t="shared" si="2"/>
        <v>0.16332873467112596</v>
      </c>
    </row>
    <row r="39" spans="2:15" x14ac:dyDescent="0.2">
      <c r="C39" s="19" t="s">
        <v>935</v>
      </c>
      <c r="D39" s="71">
        <f t="shared" si="0"/>
        <v>6727.5</v>
      </c>
      <c r="E39" s="211">
        <v>1.5</v>
      </c>
      <c r="F39" s="222">
        <f t="shared" si="1"/>
        <v>8.6812593603900701E-2</v>
      </c>
      <c r="G39" s="5"/>
      <c r="H39" s="19" t="s">
        <v>936</v>
      </c>
      <c r="I39" s="5"/>
      <c r="J39" s="5"/>
      <c r="K39" s="221">
        <f>E28*SUM(D36:D39)</f>
        <v>583.05000000000007</v>
      </c>
      <c r="L39" s="220">
        <f t="shared" si="2"/>
        <v>0.13</v>
      </c>
    </row>
    <row r="40" spans="2:15" x14ac:dyDescent="0.2">
      <c r="C40" s="19" t="s">
        <v>937</v>
      </c>
      <c r="D40" s="172">
        <f>N21*E12</f>
        <v>7075.2937500000007</v>
      </c>
      <c r="E40" s="220">
        <f>D40/$E$24</f>
        <v>1.5775459866220738</v>
      </c>
      <c r="F40" s="222">
        <f t="shared" si="1"/>
        <v>9.1300572418724441E-2</v>
      </c>
      <c r="G40" s="5"/>
      <c r="H40" s="223" t="s">
        <v>938</v>
      </c>
      <c r="I40" s="224"/>
      <c r="J40" s="224"/>
      <c r="K40" s="225">
        <f>SUM(K36:K39)</f>
        <v>77494.516875000001</v>
      </c>
      <c r="L40" s="226">
        <f>SUM(L36:L39)</f>
        <v>17.278599080267558</v>
      </c>
    </row>
    <row r="41" spans="2:15" x14ac:dyDescent="0.2">
      <c r="C41" s="19" t="s">
        <v>939</v>
      </c>
      <c r="D41" s="172">
        <f>MAX(G93-N22,0)</f>
        <v>275</v>
      </c>
      <c r="E41" s="220">
        <f>D41/$E$24</f>
        <v>6.1315496098104792E-2</v>
      </c>
      <c r="F41" s="222">
        <f t="shared" si="1"/>
        <v>3.5486381629242203E-3</v>
      </c>
      <c r="G41" s="5"/>
      <c r="H41" s="5"/>
      <c r="I41" s="5"/>
      <c r="J41" s="5"/>
      <c r="K41" s="227"/>
      <c r="L41" s="5"/>
      <c r="M41" s="5"/>
      <c r="N41" s="228"/>
      <c r="O41" s="229"/>
    </row>
    <row r="42" spans="2:15" x14ac:dyDescent="0.2">
      <c r="C42" s="19" t="s">
        <v>940</v>
      </c>
      <c r="D42" s="230">
        <f>K40-SUM(D36:D41)</f>
        <v>40991.723125000004</v>
      </c>
      <c r="E42" s="220">
        <f>D42/$E$24</f>
        <v>9.1397375975473807</v>
      </c>
      <c r="F42" s="222">
        <f t="shared" si="1"/>
        <v>0.5289628838014484</v>
      </c>
      <c r="G42" s="5"/>
      <c r="H42" s="5"/>
      <c r="I42" s="5"/>
      <c r="J42" s="5"/>
      <c r="K42" s="5"/>
      <c r="L42" s="5"/>
      <c r="M42" s="5"/>
      <c r="N42" s="5"/>
      <c r="O42" s="5"/>
    </row>
    <row r="43" spans="2:15" x14ac:dyDescent="0.2">
      <c r="C43" s="223" t="s">
        <v>941</v>
      </c>
      <c r="D43" s="225">
        <f>SUM(D36:D42)</f>
        <v>77494.516875000001</v>
      </c>
      <c r="E43" s="231">
        <f>SUM(E36:E42)</f>
        <v>17.278599080267561</v>
      </c>
      <c r="F43" s="233">
        <f>SUM(F36:F42)</f>
        <v>1</v>
      </c>
      <c r="G43" s="5"/>
      <c r="H43" s="5"/>
      <c r="I43" s="5"/>
      <c r="J43" s="5"/>
      <c r="K43" s="170"/>
      <c r="L43" s="5"/>
      <c r="M43" s="5"/>
      <c r="N43" s="232"/>
      <c r="O43" s="5"/>
    </row>
    <row r="45" spans="2:15" x14ac:dyDescent="0.2">
      <c r="C45" s="292" t="s">
        <v>943</v>
      </c>
      <c r="D45" s="308" t="s">
        <v>45</v>
      </c>
      <c r="E45" s="308" t="s">
        <v>692</v>
      </c>
    </row>
    <row r="46" spans="2:15" x14ac:dyDescent="0.2">
      <c r="C46" s="19" t="s">
        <v>944</v>
      </c>
      <c r="D46" s="71">
        <f>D40</f>
        <v>7075.2937500000007</v>
      </c>
      <c r="E46" s="234">
        <f>D46/$D$48</f>
        <v>0.14719643967919946</v>
      </c>
      <c r="H46" s="430"/>
    </row>
    <row r="47" spans="2:15" x14ac:dyDescent="0.2">
      <c r="C47" s="19" t="s">
        <v>945</v>
      </c>
      <c r="D47" s="172">
        <f>D42</f>
        <v>40991.723125000004</v>
      </c>
      <c r="E47" s="235">
        <f>D47/$D$48</f>
        <v>0.85280356032080062</v>
      </c>
    </row>
    <row r="48" spans="2:15" x14ac:dyDescent="0.2">
      <c r="C48" s="223" t="s">
        <v>43</v>
      </c>
      <c r="D48" s="225">
        <f>SUM(D46:D47)</f>
        <v>48067.016875000001</v>
      </c>
      <c r="E48" s="236">
        <f>SUM(E46:E47)</f>
        <v>1</v>
      </c>
    </row>
    <row r="49" spans="2:15" x14ac:dyDescent="0.2">
      <c r="C49" s="41"/>
      <c r="D49" s="28"/>
      <c r="E49" s="28"/>
    </row>
    <row r="50" spans="2:15" x14ac:dyDescent="0.2">
      <c r="B50" s="2" t="s">
        <v>951</v>
      </c>
      <c r="C50" s="2"/>
      <c r="D50" s="2"/>
      <c r="E50" s="2"/>
      <c r="F50" s="2"/>
      <c r="G50" s="2"/>
      <c r="H50" s="2"/>
      <c r="I50" s="2"/>
      <c r="J50" s="2"/>
      <c r="K50" s="2"/>
      <c r="L50" s="2"/>
      <c r="M50" s="2"/>
      <c r="N50" s="2"/>
      <c r="O50" s="2"/>
    </row>
    <row r="51" spans="2:15" x14ac:dyDescent="0.2">
      <c r="C51" s="41"/>
      <c r="D51" s="28"/>
      <c r="E51" s="28"/>
    </row>
    <row r="52" spans="2:15" x14ac:dyDescent="0.2">
      <c r="C52" s="292" t="s">
        <v>952</v>
      </c>
      <c r="D52" s="308"/>
      <c r="E52" s="308" t="s">
        <v>45</v>
      </c>
    </row>
    <row r="53" spans="2:15" x14ac:dyDescent="0.2">
      <c r="C53" s="350" t="s">
        <v>953</v>
      </c>
      <c r="D53" s="5"/>
      <c r="E53" s="172">
        <f>E12</f>
        <v>70752.9375</v>
      </c>
    </row>
    <row r="54" spans="2:15" x14ac:dyDescent="0.2">
      <c r="C54" s="351" t="s">
        <v>954</v>
      </c>
      <c r="D54" s="5"/>
      <c r="E54" s="172">
        <f>-G117</f>
        <v>-7653</v>
      </c>
    </row>
    <row r="55" spans="2:15" x14ac:dyDescent="0.2">
      <c r="C55" s="352" t="s">
        <v>955</v>
      </c>
      <c r="D55" s="213"/>
      <c r="E55" s="172">
        <f>G83</f>
        <v>7687</v>
      </c>
    </row>
    <row r="56" spans="2:15" x14ac:dyDescent="0.2">
      <c r="C56" s="227" t="s">
        <v>956</v>
      </c>
      <c r="D56" s="5"/>
      <c r="E56" s="356">
        <f>SUM(E53:E55)</f>
        <v>70786.9375</v>
      </c>
    </row>
    <row r="57" spans="2:15" x14ac:dyDescent="0.2">
      <c r="C57" s="227"/>
      <c r="D57" s="5"/>
      <c r="E57" s="448"/>
    </row>
    <row r="58" spans="2:15" x14ac:dyDescent="0.2">
      <c r="C58" s="28"/>
      <c r="D58" s="28"/>
      <c r="E58" s="28"/>
    </row>
    <row r="59" spans="2:15" x14ac:dyDescent="0.2">
      <c r="B59" s="1"/>
      <c r="C59" s="1"/>
      <c r="D59" s="3"/>
      <c r="E59" s="10"/>
      <c r="F59" s="10" t="s">
        <v>4</v>
      </c>
      <c r="G59" s="11"/>
      <c r="H59" s="375" t="s">
        <v>946</v>
      </c>
      <c r="I59" s="238"/>
      <c r="J59" s="238"/>
      <c r="K59" s="13"/>
      <c r="L59" s="14"/>
      <c r="M59" s="14" t="s">
        <v>5</v>
      </c>
      <c r="N59" s="14"/>
      <c r="O59" s="14"/>
    </row>
    <row r="60" spans="2:15" x14ac:dyDescent="0.2">
      <c r="B60" s="2" t="s">
        <v>6</v>
      </c>
      <c r="C60" s="1"/>
      <c r="D60" s="47" t="s">
        <v>3</v>
      </c>
      <c r="E60" s="45">
        <f>EOMONTH(F60,-12)</f>
        <v>45199</v>
      </c>
      <c r="F60" s="45">
        <f>EOMONTH(G60,-12)</f>
        <v>45565</v>
      </c>
      <c r="G60" s="45">
        <f>E4</f>
        <v>45930</v>
      </c>
      <c r="H60" s="376" t="s">
        <v>947</v>
      </c>
      <c r="I60" s="45" t="s">
        <v>948</v>
      </c>
      <c r="J60" s="46">
        <f>G60</f>
        <v>45930</v>
      </c>
      <c r="K60" s="45">
        <f>EOMONTH(G60,12)</f>
        <v>46295</v>
      </c>
      <c r="L60" s="45">
        <f t="shared" ref="L60:O60" si="3">EOMONTH(K60,12)</f>
        <v>46660</v>
      </c>
      <c r="M60" s="45">
        <f t="shared" si="3"/>
        <v>47026</v>
      </c>
      <c r="N60" s="45">
        <f t="shared" si="3"/>
        <v>47391</v>
      </c>
      <c r="O60" s="45">
        <f t="shared" si="3"/>
        <v>47756</v>
      </c>
    </row>
    <row r="61" spans="2:15" x14ac:dyDescent="0.2">
      <c r="C61" s="15" t="s">
        <v>9</v>
      </c>
      <c r="D61" s="48" t="s">
        <v>45</v>
      </c>
      <c r="E61" s="252">
        <f>'3_Statment_model'!E127</f>
        <v>37907</v>
      </c>
      <c r="F61" s="252">
        <f>'3_Statment_model'!F127</f>
        <v>42002</v>
      </c>
      <c r="G61" s="252">
        <f>'3_Statment_model'!G127</f>
        <v>46070</v>
      </c>
      <c r="H61" s="248"/>
      <c r="I61" s="240"/>
      <c r="J61" s="241"/>
      <c r="K61" s="252">
        <f>'3_Statment_model'!H127</f>
        <v>49755.600000000006</v>
      </c>
      <c r="L61" s="252">
        <f>'3_Statment_model'!I127</f>
        <v>53561.90340000001</v>
      </c>
      <c r="M61" s="252">
        <f>'3_Statment_model'!J127</f>
        <v>57471.922348200009</v>
      </c>
      <c r="N61" s="252">
        <f>'3_Statment_model'!K127</f>
        <v>61466.220951399919</v>
      </c>
      <c r="O61" s="252">
        <f>'3_Statment_model'!L127</f>
        <v>65522.991534192319</v>
      </c>
    </row>
    <row r="62" spans="2:15" x14ac:dyDescent="0.2">
      <c r="C62" s="17" t="s">
        <v>17</v>
      </c>
      <c r="D62" s="49" t="s">
        <v>45</v>
      </c>
      <c r="E62" s="253">
        <f>'3_Statment_model'!E128</f>
        <v>-12254</v>
      </c>
      <c r="F62" s="253">
        <f>'3_Statment_model'!F128</f>
        <v>-13293</v>
      </c>
      <c r="G62" s="253">
        <f>'3_Statment_model'!G128</f>
        <v>-14212</v>
      </c>
      <c r="H62" s="249"/>
      <c r="I62" s="237"/>
      <c r="J62" s="239"/>
      <c r="K62" s="253">
        <f>'3_Statment_model'!H128</f>
        <v>-15225.213600000001</v>
      </c>
      <c r="L62" s="253">
        <f>'3_Statment_model'!I128</f>
        <v>-16282.818633600004</v>
      </c>
      <c r="M62" s="253">
        <f>'3_Statment_model'!J128</f>
        <v>-17356.520549156401</v>
      </c>
      <c r="N62" s="253">
        <f>'3_Statment_model'!K128</f>
        <v>-18439.866285419976</v>
      </c>
      <c r="O62" s="253">
        <f>'3_Statment_model'!L128</f>
        <v>-19656.897460257696</v>
      </c>
    </row>
    <row r="63" spans="2:15" x14ac:dyDescent="0.2">
      <c r="C63" s="17" t="s">
        <v>18</v>
      </c>
      <c r="D63" s="49" t="s">
        <v>45</v>
      </c>
      <c r="E63" s="253">
        <f>'3_Statment_model'!E129</f>
        <v>-22175</v>
      </c>
      <c r="F63" s="253">
        <f>'3_Statment_model'!F129</f>
        <v>-24711</v>
      </c>
      <c r="G63" s="253">
        <f>'3_Statment_model'!G129</f>
        <v>-27373</v>
      </c>
      <c r="H63" s="249"/>
      <c r="I63" s="237"/>
      <c r="J63" s="239"/>
      <c r="K63" s="253">
        <f>'3_Statment_model'!H129</f>
        <v>-29654.337600000003</v>
      </c>
      <c r="L63" s="253">
        <f>'3_Statment_model'!I129</f>
        <v>-32030.018233200004</v>
      </c>
      <c r="M63" s="253">
        <f>'3_Statment_model'!J129</f>
        <v>-34483.153408920007</v>
      </c>
      <c r="N63" s="253">
        <f>'3_Statment_model'!K129</f>
        <v>-36879.732570839951</v>
      </c>
      <c r="O63" s="253">
        <f>'3_Statment_model'!L129</f>
        <v>-39313.794920515393</v>
      </c>
    </row>
    <row r="64" spans="2:15" x14ac:dyDescent="0.2">
      <c r="C64" s="17" t="s">
        <v>48</v>
      </c>
      <c r="D64" s="49" t="s">
        <v>45</v>
      </c>
      <c r="E64" s="253">
        <f>'3_Statment_model'!E130</f>
        <v>-952</v>
      </c>
      <c r="F64" s="253">
        <f>'3_Statment_model'!F130</f>
        <v>-1050</v>
      </c>
      <c r="G64" s="253">
        <f>'3_Statment_model'!G130</f>
        <v>-1190</v>
      </c>
      <c r="H64" s="249"/>
      <c r="I64" s="237"/>
      <c r="J64" s="239"/>
      <c r="K64" s="253">
        <f>'3_Statment_model'!H130</f>
        <v>-1355.0429704300657</v>
      </c>
      <c r="L64" s="253">
        <f>'3_Statment_model'!I130</f>
        <v>-1416.4544095620593</v>
      </c>
      <c r="M64" s="253">
        <f>'3_Statment_model'!J130</f>
        <v>-1490.9434265219206</v>
      </c>
      <c r="N64" s="253">
        <f>'3_Statment_model'!K130</f>
        <v>-1576.6616624509011</v>
      </c>
      <c r="O64" s="253">
        <f>'3_Statment_model'!L130</f>
        <v>-1672.5333969722724</v>
      </c>
    </row>
    <row r="65" spans="2:15" x14ac:dyDescent="0.2">
      <c r="C65" s="17" t="s">
        <v>770</v>
      </c>
      <c r="D65" s="49" t="s">
        <v>45</v>
      </c>
      <c r="E65" s="253">
        <f>'3_Statment_model'!E131</f>
        <v>-281</v>
      </c>
      <c r="F65" s="253">
        <f>'3_Statment_model'!F131</f>
        <v>-408</v>
      </c>
      <c r="G65" s="253">
        <f>'3_Statment_model'!G131</f>
        <v>-368</v>
      </c>
      <c r="H65" s="249"/>
      <c r="I65" s="237"/>
      <c r="J65" s="239"/>
      <c r="K65" s="253">
        <f>'3_Statment_model'!H131</f>
        <v>-352.33333333333331</v>
      </c>
      <c r="L65" s="253">
        <f>'3_Statment_model'!I131</f>
        <v>-352.33333333333331</v>
      </c>
      <c r="M65" s="253">
        <f>'3_Statment_model'!J131</f>
        <v>-352.33333333333331</v>
      </c>
      <c r="N65" s="253">
        <f>'3_Statment_model'!K131</f>
        <v>-352.33333333333331</v>
      </c>
      <c r="O65" s="253">
        <f>'3_Statment_model'!L131</f>
        <v>-352.33333333333331</v>
      </c>
    </row>
    <row r="66" spans="2:15" x14ac:dyDescent="0.2">
      <c r="C66" s="17" t="s">
        <v>19</v>
      </c>
      <c r="D66" s="49" t="s">
        <v>45</v>
      </c>
      <c r="E66" s="253">
        <f>'3_Statment_model'!E132</f>
        <v>68</v>
      </c>
      <c r="F66" s="253">
        <f>'3_Statment_model'!F132</f>
        <v>44</v>
      </c>
      <c r="G66" s="253">
        <f>'3_Statment_model'!G132</f>
        <v>37</v>
      </c>
      <c r="H66" s="249"/>
      <c r="I66" s="237"/>
      <c r="J66" s="239"/>
      <c r="K66" s="253">
        <f>'3_Statment_model'!H132</f>
        <v>0</v>
      </c>
      <c r="L66" s="253">
        <f>'3_Statment_model'!I132</f>
        <v>0</v>
      </c>
      <c r="M66" s="253">
        <f>'3_Statment_model'!J132</f>
        <v>0</v>
      </c>
      <c r="N66" s="253">
        <f>'3_Statment_model'!K132</f>
        <v>0</v>
      </c>
      <c r="O66" s="253">
        <f>'3_Statment_model'!L132</f>
        <v>0</v>
      </c>
    </row>
    <row r="67" spans="2:15" x14ac:dyDescent="0.2">
      <c r="C67" s="27" t="s">
        <v>10</v>
      </c>
      <c r="D67" s="50" t="s">
        <v>45</v>
      </c>
      <c r="E67" s="254">
        <f>SUM(E61:E66)</f>
        <v>2313</v>
      </c>
      <c r="F67" s="254">
        <f>SUM(F61:F66)</f>
        <v>2584</v>
      </c>
      <c r="G67" s="254">
        <f>SUM(G61:G66)</f>
        <v>2964</v>
      </c>
      <c r="H67" s="244"/>
      <c r="I67" s="254"/>
      <c r="J67" s="242"/>
      <c r="K67" s="254">
        <f>SUM(K61:K66)</f>
        <v>3168.6724962366011</v>
      </c>
      <c r="L67" s="254">
        <f>SUM(L61:L66)</f>
        <v>3480.278790304606</v>
      </c>
      <c r="M67" s="254">
        <f>SUM(M61:M66)</f>
        <v>3788.9716302683505</v>
      </c>
      <c r="N67" s="254">
        <f>SUM(N61:N66)</f>
        <v>4217.6270993557619</v>
      </c>
      <c r="O67" s="254">
        <f>SUM(O61:O66)</f>
        <v>4527.4324231136279</v>
      </c>
    </row>
    <row r="68" spans="2:15" x14ac:dyDescent="0.2">
      <c r="C68" s="15"/>
      <c r="H68" s="138"/>
      <c r="J68" s="243"/>
    </row>
    <row r="69" spans="2:15" x14ac:dyDescent="0.2">
      <c r="C69" s="317" t="s">
        <v>11</v>
      </c>
      <c r="D69" s="318" t="s">
        <v>45</v>
      </c>
      <c r="E69" s="364">
        <f>'3_Statment_model'!E135</f>
        <v>59</v>
      </c>
      <c r="F69" s="364">
        <f>'3_Statment_model'!F135</f>
        <v>68</v>
      </c>
      <c r="G69" s="364">
        <f>'3_Statment_model'!G135</f>
        <v>80</v>
      </c>
      <c r="H69" s="319"/>
      <c r="I69" s="320"/>
      <c r="J69" s="321"/>
      <c r="K69" s="366">
        <f>K152*K176</f>
        <v>10.500000000000002</v>
      </c>
      <c r="L69" s="366">
        <f t="shared" ref="L69:O69" si="4">L152*L176</f>
        <v>10.500000000000002</v>
      </c>
      <c r="M69" s="366">
        <f t="shared" si="4"/>
        <v>10.500000000000002</v>
      </c>
      <c r="N69" s="366">
        <f t="shared" si="4"/>
        <v>11.354874175472094</v>
      </c>
      <c r="O69" s="366">
        <f t="shared" si="4"/>
        <v>15.356138261134342</v>
      </c>
    </row>
    <row r="70" spans="2:15" x14ac:dyDescent="0.2">
      <c r="C70" s="458" t="s">
        <v>12</v>
      </c>
      <c r="D70" s="459" t="s">
        <v>45</v>
      </c>
      <c r="E70" s="460">
        <f>'3_Statment_model'!E136</f>
        <v>-259</v>
      </c>
      <c r="F70" s="460">
        <f>'3_Statment_model'!F136</f>
        <v>-393</v>
      </c>
      <c r="G70" s="460">
        <f>'3_Statment_model'!G136</f>
        <v>-429</v>
      </c>
      <c r="H70" s="463"/>
      <c r="I70" s="461"/>
      <c r="J70" s="464"/>
      <c r="K70" s="462">
        <f>-K185-'3_Statment_model'!H105</f>
        <v>-2282.9680482089489</v>
      </c>
      <c r="L70" s="462">
        <f>-L185-'3_Statment_model'!I105</f>
        <v>-2261.8115013173474</v>
      </c>
      <c r="M70" s="462">
        <f>-M185-'3_Statment_model'!J105</f>
        <v>-2230.3870547259216</v>
      </c>
      <c r="N70" s="462">
        <f>-N185-'3_Statment_model'!K105</f>
        <v>-2190.8945532260827</v>
      </c>
      <c r="O70" s="462">
        <f>-O185-'3_Statment_model'!L105</f>
        <v>-2138.0975646754177</v>
      </c>
    </row>
    <row r="71" spans="2:15" x14ac:dyDescent="0.2">
      <c r="C71" s="322" t="s">
        <v>1000</v>
      </c>
      <c r="D71" s="323" t="s">
        <v>45</v>
      </c>
      <c r="E71" s="324"/>
      <c r="F71" s="324"/>
      <c r="G71" s="324"/>
      <c r="H71" s="325"/>
      <c r="I71" s="326"/>
      <c r="J71" s="327"/>
      <c r="K71" s="425">
        <f>-MIN($K$39+SUM($J71:J71),$K$39/$E$29)</f>
        <v>-83.292857142857159</v>
      </c>
      <c r="L71" s="425">
        <f>-MIN($K$39+SUM($J71:K71),$K$39/$E$29)</f>
        <v>-83.292857142857159</v>
      </c>
      <c r="M71" s="425">
        <f>-MIN($K$39+SUM($J71:L71),$K$39/$E$29)</f>
        <v>-83.292857142857159</v>
      </c>
      <c r="N71" s="425">
        <f>-MIN($K$39+SUM($J71:M71),$K$39/$E$29)</f>
        <v>-83.292857142857159</v>
      </c>
      <c r="O71" s="425">
        <f>-MIN($K$39+SUM($J71:N71),$K$39/$E$29)</f>
        <v>-83.292857142857159</v>
      </c>
    </row>
    <row r="72" spans="2:15" x14ac:dyDescent="0.2">
      <c r="C72" s="26" t="s">
        <v>14</v>
      </c>
      <c r="D72" s="49" t="s">
        <v>45</v>
      </c>
      <c r="E72" s="246">
        <f>'3_Statment_model'!E137</f>
        <v>24</v>
      </c>
      <c r="F72" s="246">
        <f>'3_Statment_model'!F137</f>
        <v>-203</v>
      </c>
      <c r="G72" s="465">
        <f>'3_Statment_model'!G137</f>
        <v>-31</v>
      </c>
      <c r="H72" s="466"/>
      <c r="J72" s="467"/>
      <c r="K72" s="246">
        <f>'3_Statment_model'!H137</f>
        <v>0</v>
      </c>
      <c r="L72" s="246">
        <f>'3_Statment_model'!I137</f>
        <v>0</v>
      </c>
      <c r="M72" s="246">
        <f>'3_Statment_model'!J137</f>
        <v>0</v>
      </c>
      <c r="N72" s="246">
        <f>'3_Statment_model'!K137</f>
        <v>0</v>
      </c>
      <c r="O72" s="246">
        <f>'3_Statment_model'!L137</f>
        <v>0</v>
      </c>
    </row>
    <row r="73" spans="2:15" x14ac:dyDescent="0.2">
      <c r="C73" s="27" t="s">
        <v>13</v>
      </c>
      <c r="D73" s="50" t="s">
        <v>45</v>
      </c>
      <c r="E73" s="254">
        <f>SUM(E67,E69:E72)</f>
        <v>2137</v>
      </c>
      <c r="F73" s="254">
        <f>SUM(F67,F69:F72)</f>
        <v>2056</v>
      </c>
      <c r="G73" s="240">
        <f>SUM(G67,G69:G72)</f>
        <v>2584</v>
      </c>
      <c r="H73" s="244"/>
      <c r="I73" s="254"/>
      <c r="J73" s="242"/>
      <c r="K73" s="254">
        <f>SUM(K67,K69:K72)</f>
        <v>812.91159088479503</v>
      </c>
      <c r="L73" s="254">
        <f>SUM(L67,L69:L72)</f>
        <v>1145.6744318444014</v>
      </c>
      <c r="M73" s="254">
        <f>SUM(M67,M69:M72)</f>
        <v>1485.7917183995717</v>
      </c>
      <c r="N73" s="254">
        <f>SUM(N67,N69:N72)</f>
        <v>1954.794563162294</v>
      </c>
      <c r="O73" s="254">
        <f>SUM(O67,O69:O72)</f>
        <v>2321.3981395564874</v>
      </c>
    </row>
    <row r="74" spans="2:15" x14ac:dyDescent="0.2">
      <c r="C74" s="15"/>
      <c r="H74" s="138"/>
      <c r="J74" s="243"/>
    </row>
    <row r="75" spans="2:15" x14ac:dyDescent="0.2">
      <c r="C75" s="26" t="s">
        <v>16</v>
      </c>
      <c r="D75" s="49" t="s">
        <v>45</v>
      </c>
      <c r="E75" s="246">
        <f>'3_Statment_model'!E140</f>
        <v>-525</v>
      </c>
      <c r="F75" s="246">
        <f>'3_Statment_model'!F140</f>
        <v>-642</v>
      </c>
      <c r="G75" s="246">
        <f>'3_Statment_model'!G140</f>
        <v>-704</v>
      </c>
      <c r="H75" s="249"/>
      <c r="I75" s="237"/>
      <c r="J75" s="239"/>
      <c r="K75" s="237">
        <f>-MAX(0,K73*$N$23)</f>
        <v>-225.00691885809758</v>
      </c>
      <c r="L75" s="237">
        <f t="shared" ref="L75:O75" si="5">-MAX(0,L73*$N$23)</f>
        <v>-317.11280391909582</v>
      </c>
      <c r="M75" s="237">
        <f t="shared" si="5"/>
        <v>-411.25433610571355</v>
      </c>
      <c r="N75" s="237">
        <f t="shared" si="5"/>
        <v>-541.07027946172138</v>
      </c>
      <c r="O75" s="237">
        <f t="shared" si="5"/>
        <v>-642.54298829225252</v>
      </c>
    </row>
    <row r="76" spans="2:15" x14ac:dyDescent="0.2">
      <c r="C76" s="28"/>
      <c r="H76" s="138"/>
      <c r="J76" s="243"/>
      <c r="K76" s="21"/>
    </row>
    <row r="77" spans="2:15" ht="17" thickBot="1" x14ac:dyDescent="0.25">
      <c r="C77" s="128" t="s">
        <v>15</v>
      </c>
      <c r="D77" s="129" t="s">
        <v>45</v>
      </c>
      <c r="E77" s="255">
        <f>E73+E75</f>
        <v>1612</v>
      </c>
      <c r="F77" s="255">
        <f t="shared" ref="F77:O77" si="6">F73+F75</f>
        <v>1414</v>
      </c>
      <c r="G77" s="255">
        <f t="shared" si="6"/>
        <v>1880</v>
      </c>
      <c r="H77" s="256"/>
      <c r="I77" s="255"/>
      <c r="J77" s="258"/>
      <c r="K77" s="255">
        <f t="shared" si="6"/>
        <v>587.90467202669743</v>
      </c>
      <c r="L77" s="255">
        <f t="shared" si="6"/>
        <v>828.56162792530563</v>
      </c>
      <c r="M77" s="255">
        <f t="shared" si="6"/>
        <v>1074.5373822938582</v>
      </c>
      <c r="N77" s="255">
        <f t="shared" si="6"/>
        <v>1413.7242837005726</v>
      </c>
      <c r="O77" s="255">
        <f t="shared" si="6"/>
        <v>1678.8551512642348</v>
      </c>
    </row>
    <row r="78" spans="2:15" ht="17" thickTop="1" x14ac:dyDescent="0.2"/>
    <row r="79" spans="2:15" x14ac:dyDescent="0.2">
      <c r="B79" s="1"/>
      <c r="C79" s="1"/>
      <c r="D79" s="3"/>
      <c r="E79" s="10"/>
      <c r="F79" s="10" t="s">
        <v>4</v>
      </c>
      <c r="G79" s="11"/>
      <c r="H79" s="375" t="s">
        <v>946</v>
      </c>
      <c r="I79" s="238"/>
      <c r="J79" s="361"/>
      <c r="K79" s="13"/>
      <c r="L79" s="14"/>
      <c r="M79" s="14" t="s">
        <v>5</v>
      </c>
      <c r="N79" s="14"/>
      <c r="O79" s="14"/>
    </row>
    <row r="80" spans="2:15" x14ac:dyDescent="0.2">
      <c r="B80" s="2" t="s">
        <v>7</v>
      </c>
      <c r="C80" s="1"/>
      <c r="D80" s="47" t="s">
        <v>3</v>
      </c>
      <c r="E80" s="45">
        <f>EOMONTH(F80,-12)</f>
        <v>45199</v>
      </c>
      <c r="F80" s="45">
        <f>EOMONTH(G80,-12)</f>
        <v>45565</v>
      </c>
      <c r="G80" s="45">
        <f>E4</f>
        <v>45930</v>
      </c>
      <c r="H80" s="376" t="s">
        <v>947</v>
      </c>
      <c r="I80" s="45" t="s">
        <v>948</v>
      </c>
      <c r="J80" s="46">
        <f>G80</f>
        <v>45930</v>
      </c>
      <c r="K80" s="45">
        <f>EOMONTH(G80,12)</f>
        <v>46295</v>
      </c>
      <c r="L80" s="45">
        <f t="shared" ref="L80:O80" si="7">EOMONTH(K80,12)</f>
        <v>46660</v>
      </c>
      <c r="M80" s="45">
        <f t="shared" si="7"/>
        <v>47026</v>
      </c>
      <c r="N80" s="45">
        <f t="shared" si="7"/>
        <v>47391</v>
      </c>
      <c r="O80" s="45">
        <f t="shared" si="7"/>
        <v>47756</v>
      </c>
    </row>
    <row r="81" spans="2:15" x14ac:dyDescent="0.2">
      <c r="B81" s="30" t="s">
        <v>29</v>
      </c>
      <c r="C81" s="29"/>
      <c r="D81" s="29"/>
      <c r="E81" s="29"/>
      <c r="F81" s="29"/>
      <c r="G81" s="29"/>
      <c r="H81" s="332"/>
      <c r="I81" s="29"/>
      <c r="J81" s="257"/>
      <c r="K81" s="29"/>
      <c r="L81" s="29"/>
      <c r="M81" s="29"/>
      <c r="N81" s="29"/>
      <c r="O81" s="29"/>
    </row>
    <row r="82" spans="2:15" x14ac:dyDescent="0.2">
      <c r="C82" s="15" t="s">
        <v>31</v>
      </c>
      <c r="E82" s="253"/>
      <c r="F82" s="253"/>
      <c r="G82" s="253"/>
      <c r="H82" s="138"/>
      <c r="J82" s="250"/>
    </row>
    <row r="83" spans="2:15" x14ac:dyDescent="0.2">
      <c r="C83" s="313" t="s">
        <v>74</v>
      </c>
      <c r="D83" s="314" t="s">
        <v>45</v>
      </c>
      <c r="E83" s="315">
        <f>'3_Statment_model'!E148</f>
        <v>6105</v>
      </c>
      <c r="F83" s="315">
        <f>'3_Statment_model'!F148</f>
        <v>6899</v>
      </c>
      <c r="G83" s="315">
        <f>'3_Statment_model'!G148</f>
        <v>7687</v>
      </c>
      <c r="H83" s="362">
        <f>E56</f>
        <v>70786.9375</v>
      </c>
      <c r="I83" s="363">
        <f>-G83</f>
        <v>-7687</v>
      </c>
      <c r="J83" s="316">
        <f>SUM(G83:I83)</f>
        <v>70786.9375</v>
      </c>
      <c r="K83" s="363">
        <f>$J$83</f>
        <v>70786.9375</v>
      </c>
      <c r="L83" s="363">
        <f t="shared" ref="L83:O83" si="8">$J$83</f>
        <v>70786.9375</v>
      </c>
      <c r="M83" s="363">
        <f t="shared" si="8"/>
        <v>70786.9375</v>
      </c>
      <c r="N83" s="363">
        <f t="shared" si="8"/>
        <v>70786.9375</v>
      </c>
      <c r="O83" s="363">
        <f t="shared" si="8"/>
        <v>70786.9375</v>
      </c>
    </row>
    <row r="84" spans="2:15" ht="16" customHeight="1" x14ac:dyDescent="0.2">
      <c r="C84" s="19" t="s">
        <v>73</v>
      </c>
      <c r="D84" s="53" t="s">
        <v>45</v>
      </c>
      <c r="E84" s="186">
        <f>'3_Statment_model'!E149</f>
        <v>3796</v>
      </c>
      <c r="F84" s="358">
        <f>'3_Statment_model'!F149</f>
        <v>4850</v>
      </c>
      <c r="G84" s="358">
        <f>'3_Statment_model'!G149</f>
        <v>5664</v>
      </c>
      <c r="H84" s="275">
        <v>0</v>
      </c>
      <c r="I84" s="274">
        <v>0</v>
      </c>
      <c r="J84" s="359">
        <f>SUM(G84:I84)</f>
        <v>5664</v>
      </c>
      <c r="K84" s="358">
        <f>'3_Statment_model'!H149</f>
        <v>5913.0378237239474</v>
      </c>
      <c r="L84" s="358">
        <f>'3_Statment_model'!I149</f>
        <v>6215.2241391852885</v>
      </c>
      <c r="M84" s="358">
        <f>'3_Statment_model'!J149</f>
        <v>6566.1609345007046</v>
      </c>
      <c r="N84" s="358">
        <f>'3_Statment_model'!K149</f>
        <v>6963.2912594883928</v>
      </c>
      <c r="O84" s="358">
        <f>'3_Statment_model'!L149</f>
        <v>7403.9901560508297</v>
      </c>
    </row>
    <row r="85" spans="2:15" x14ac:dyDescent="0.2">
      <c r="C85" s="19" t="s">
        <v>697</v>
      </c>
      <c r="D85" s="53" t="s">
        <v>45</v>
      </c>
      <c r="E85" s="186">
        <f>'3_Statment_model'!E150</f>
        <v>1166</v>
      </c>
      <c r="F85" s="186">
        <f>'3_Statment_model'!F150</f>
        <v>1411</v>
      </c>
      <c r="G85" s="186">
        <f>'3_Statment_model'!G150</f>
        <v>1569</v>
      </c>
      <c r="H85" s="275">
        <v>0</v>
      </c>
      <c r="I85" s="274">
        <v>0</v>
      </c>
      <c r="J85" s="360">
        <f>SUM(G85:I85)</f>
        <v>1569</v>
      </c>
      <c r="K85" s="358">
        <f>'3_Statment_model'!H150</f>
        <v>1670.0789109768257</v>
      </c>
      <c r="L85" s="358">
        <f>'3_Statment_model'!I150</f>
        <v>1795.6869597885202</v>
      </c>
      <c r="M85" s="358">
        <f>'3_Statment_model'!J150</f>
        <v>1940.9575755112451</v>
      </c>
      <c r="N85" s="358">
        <f>'3_Statment_model'!K150</f>
        <v>2103.0669737246203</v>
      </c>
      <c r="O85" s="358">
        <f>'3_Statment_model'!L150</f>
        <v>2279.7590309151865</v>
      </c>
    </row>
    <row r="86" spans="2:15" x14ac:dyDescent="0.2">
      <c r="C86" s="271" t="s">
        <v>698</v>
      </c>
      <c r="D86" s="272" t="s">
        <v>45</v>
      </c>
      <c r="E86" s="273">
        <f>'3_Statment_model'!E151</f>
        <v>992</v>
      </c>
      <c r="F86" s="273">
        <f>'3_Statment_model'!F151</f>
        <v>1144</v>
      </c>
      <c r="G86" s="273">
        <f>'3_Statment_model'!G151</f>
        <v>1377</v>
      </c>
      <c r="H86" s="275">
        <v>0</v>
      </c>
      <c r="I86" s="274">
        <v>0</v>
      </c>
      <c r="J86" s="360">
        <f>SUM(G86:I86)</f>
        <v>1377</v>
      </c>
      <c r="K86" s="187">
        <f>'3_Statment_model'!H151</f>
        <v>1416.2421994972062</v>
      </c>
      <c r="L86" s="187">
        <f>'3_Statment_model'!I151</f>
        <v>1456.7933856221125</v>
      </c>
      <c r="M86" s="187">
        <f>'3_Statment_model'!J151</f>
        <v>1498.5874340384112</v>
      </c>
      <c r="N86" s="187">
        <f>'3_Statment_model'!K151</f>
        <v>1541.5731531187239</v>
      </c>
      <c r="O86" s="187">
        <f>'3_Statment_model'!L151</f>
        <v>1585.7117199797326</v>
      </c>
    </row>
    <row r="87" spans="2:15" x14ac:dyDescent="0.2">
      <c r="C87" s="368" t="s">
        <v>27</v>
      </c>
      <c r="D87" s="369" t="s">
        <v>45</v>
      </c>
      <c r="E87" s="370">
        <f>'3_Statment_model'!E152</f>
        <v>2473</v>
      </c>
      <c r="F87" s="370">
        <f>'3_Statment_model'!F152</f>
        <v>2552</v>
      </c>
      <c r="G87" s="370">
        <f>'3_Statment_model'!G152</f>
        <v>2625</v>
      </c>
      <c r="H87" s="367">
        <f>K39</f>
        <v>583.05000000000007</v>
      </c>
      <c r="I87" s="365">
        <v>0</v>
      </c>
      <c r="J87" s="371">
        <f>SUM(G87:I87)</f>
        <v>3208.05</v>
      </c>
      <c r="K87" s="453">
        <f>'3_Statment_model'!H152+$H$87-SUM($K$130:K130)</f>
        <v>3195.6321428571428</v>
      </c>
      <c r="L87" s="453">
        <f>'3_Statment_model'!I152+$H$87-SUM($K$130:L130)</f>
        <v>3182.4320357142856</v>
      </c>
      <c r="M87" s="453">
        <f>'3_Statment_model'!J152+$H$87-SUM($K$130:M130)</f>
        <v>3168.2883723214281</v>
      </c>
      <c r="N87" s="453">
        <f>'3_Statment_model'!K152+$H$87-SUM($K$130:N130)</f>
        <v>3155.8734387723202</v>
      </c>
      <c r="O87" s="453">
        <f>'3_Statment_model'!L152+$H$87-SUM($K$130:O130)</f>
        <v>3145.2304533130568</v>
      </c>
    </row>
    <row r="88" spans="2:15" x14ac:dyDescent="0.2">
      <c r="C88" s="27" t="s">
        <v>22</v>
      </c>
      <c r="D88" s="50" t="s">
        <v>45</v>
      </c>
      <c r="E88" s="254">
        <f>SUM(E83:E87)</f>
        <v>14532</v>
      </c>
      <c r="F88" s="254">
        <f>SUM(F83:F87)</f>
        <v>16856</v>
      </c>
      <c r="G88" s="240">
        <f>SUM(G83:G87)</f>
        <v>18922</v>
      </c>
      <c r="H88" s="247"/>
      <c r="I88" s="25"/>
      <c r="J88" s="264">
        <f>SUM(J83:J87)</f>
        <v>82604.987500000003</v>
      </c>
      <c r="K88" s="35">
        <f>SUM(K83:K87)</f>
        <v>82981.928577055121</v>
      </c>
      <c r="L88" s="36">
        <f t="shared" ref="L88:O88" si="9">SUM(L83:L87)</f>
        <v>83437.074020310203</v>
      </c>
      <c r="M88" s="36">
        <f t="shared" si="9"/>
        <v>83960.931816371798</v>
      </c>
      <c r="N88" s="36">
        <f t="shared" si="9"/>
        <v>84550.74232510406</v>
      </c>
      <c r="O88" s="36">
        <f t="shared" si="9"/>
        <v>85201.628860258803</v>
      </c>
    </row>
    <row r="89" spans="2:15" x14ac:dyDescent="0.2">
      <c r="E89" s="253"/>
      <c r="F89" s="253"/>
      <c r="G89" s="253"/>
      <c r="H89" s="138"/>
      <c r="J89" s="263"/>
    </row>
    <row r="90" spans="2:15" x14ac:dyDescent="0.2">
      <c r="C90" s="15" t="s">
        <v>20</v>
      </c>
      <c r="E90" s="253"/>
      <c r="F90" s="253"/>
      <c r="G90" s="253"/>
      <c r="H90" s="138"/>
      <c r="J90" s="263"/>
    </row>
    <row r="91" spans="2:15" x14ac:dyDescent="0.2">
      <c r="C91" s="17" t="s">
        <v>24</v>
      </c>
      <c r="D91" s="49" t="s">
        <v>45</v>
      </c>
      <c r="E91" s="253">
        <f>'3_Statment_model'!E156</f>
        <v>692</v>
      </c>
      <c r="F91" s="253">
        <f>'3_Statment_model'!F156</f>
        <v>734</v>
      </c>
      <c r="G91" s="253">
        <f>'3_Statment_model'!G156</f>
        <v>820</v>
      </c>
      <c r="H91" s="382">
        <v>0</v>
      </c>
      <c r="I91" s="37">
        <v>0</v>
      </c>
      <c r="J91" s="268">
        <f>SUM(G91:I91)</f>
        <v>820</v>
      </c>
      <c r="K91" s="187">
        <f>'3_Statment_model'!H156</f>
        <v>860.41431306604147</v>
      </c>
      <c r="L91" s="187">
        <f>'3_Statment_model'!I156</f>
        <v>920.18217789784478</v>
      </c>
      <c r="M91" s="187">
        <f>'3_Statment_model'!J156</f>
        <v>978.17977258561621</v>
      </c>
      <c r="N91" s="187">
        <f>'3_Statment_model'!K156</f>
        <v>1042.0822524945913</v>
      </c>
      <c r="O91" s="187">
        <f>'3_Statment_model'!L156</f>
        <v>1110.8596811592345</v>
      </c>
    </row>
    <row r="92" spans="2:15" x14ac:dyDescent="0.2">
      <c r="C92" s="17" t="s">
        <v>35</v>
      </c>
      <c r="D92" s="49" t="s">
        <v>45</v>
      </c>
      <c r="E92" s="253">
        <f>'3_Statment_model'!E157</f>
        <v>5094</v>
      </c>
      <c r="F92" s="253">
        <f>'3_Statment_model'!F157</f>
        <v>5686</v>
      </c>
      <c r="G92" s="253">
        <f>'3_Statment_model'!G157</f>
        <v>6350</v>
      </c>
      <c r="H92" s="382">
        <v>0</v>
      </c>
      <c r="I92" s="37">
        <v>0</v>
      </c>
      <c r="J92" s="263">
        <f>SUM(G92:I92)</f>
        <v>6350</v>
      </c>
      <c r="K92" s="187">
        <f>'3_Statment_model'!H157</f>
        <v>6766.1087892999949</v>
      </c>
      <c r="L92" s="187">
        <f>'3_Statment_model'!I157</f>
        <v>7283.7161116814441</v>
      </c>
      <c r="M92" s="187">
        <f>'3_Statment_model'!J157</f>
        <v>7794.073761091473</v>
      </c>
      <c r="N92" s="187">
        <f>'3_Statment_model'!K157</f>
        <v>8358.5995912886665</v>
      </c>
      <c r="O92" s="187">
        <f>'3_Statment_model'!L157</f>
        <v>8910.2671643137201</v>
      </c>
    </row>
    <row r="93" spans="2:15" x14ac:dyDescent="0.2">
      <c r="C93" s="313" t="s">
        <v>49</v>
      </c>
      <c r="D93" s="314" t="s">
        <v>45</v>
      </c>
      <c r="E93" s="315">
        <f>'3_Statment_model'!E158</f>
        <v>1029</v>
      </c>
      <c r="F93" s="315">
        <f>'3_Statment_model'!F158</f>
        <v>623</v>
      </c>
      <c r="G93" s="315">
        <f>'3_Statment_model'!G158</f>
        <v>575</v>
      </c>
      <c r="H93" s="357">
        <v>0</v>
      </c>
      <c r="I93" s="363">
        <f>-D41</f>
        <v>-275</v>
      </c>
      <c r="J93" s="316">
        <f>SUM(G93:I93)</f>
        <v>300</v>
      </c>
      <c r="K93" s="365">
        <f>K159</f>
        <v>300</v>
      </c>
      <c r="L93" s="365">
        <f>L159</f>
        <v>300</v>
      </c>
      <c r="M93" s="365">
        <f>M159</f>
        <v>324.4249764420598</v>
      </c>
      <c r="N93" s="365">
        <f>N159</f>
        <v>438.74680746098119</v>
      </c>
      <c r="O93" s="365">
        <f>O159</f>
        <v>541.97825974940952</v>
      </c>
    </row>
    <row r="94" spans="2:15" x14ac:dyDescent="0.2">
      <c r="C94" s="17" t="s">
        <v>26</v>
      </c>
      <c r="D94" s="49" t="s">
        <v>45</v>
      </c>
      <c r="E94" s="253">
        <f>'3_Statment_model'!E159</f>
        <v>136</v>
      </c>
      <c r="F94" s="253">
        <f>'3_Statment_model'!F159</f>
        <v>450</v>
      </c>
      <c r="G94" s="384">
        <f>'3_Statment_model'!G159</f>
        <v>48</v>
      </c>
      <c r="H94" s="385">
        <v>0</v>
      </c>
      <c r="I94" s="37">
        <v>0</v>
      </c>
      <c r="J94" s="380">
        <f>SUM(G94:I94)</f>
        <v>48</v>
      </c>
      <c r="K94" s="379">
        <f>'3_Statment_model'!H159</f>
        <v>254.4732941032382</v>
      </c>
      <c r="L94" s="187">
        <f>'3_Statment_model'!I159</f>
        <v>273.94050110213595</v>
      </c>
      <c r="M94" s="187">
        <f>'3_Statment_model'!J159</f>
        <v>293.93815768259185</v>
      </c>
      <c r="N94" s="187">
        <f>'3_Statment_model'!K159</f>
        <v>314.36685964153207</v>
      </c>
      <c r="O94" s="187">
        <f>'3_Statment_model'!L159</f>
        <v>335.11507237787322</v>
      </c>
    </row>
    <row r="95" spans="2:15" x14ac:dyDescent="0.2">
      <c r="C95" s="27" t="s">
        <v>21</v>
      </c>
      <c r="D95" s="50" t="s">
        <v>45</v>
      </c>
      <c r="E95" s="254">
        <f>SUM(E91:E94)</f>
        <v>6951</v>
      </c>
      <c r="F95" s="254">
        <f t="shared" ref="F95:G95" si="10">SUM(F91:F94)</f>
        <v>7493</v>
      </c>
      <c r="G95" s="240">
        <f t="shared" si="10"/>
        <v>7793</v>
      </c>
      <c r="H95" s="247"/>
      <c r="I95" s="25"/>
      <c r="J95" s="264">
        <f>SUM(J91:J94)</f>
        <v>7518</v>
      </c>
      <c r="K95" s="35">
        <f>SUM(K91:K94)</f>
        <v>8180.9963964692743</v>
      </c>
      <c r="L95" s="36">
        <f t="shared" ref="L95:O95" si="11">SUM(L91:L94)</f>
        <v>8777.8387906814241</v>
      </c>
      <c r="M95" s="36">
        <f t="shared" si="11"/>
        <v>9390.6166678017416</v>
      </c>
      <c r="N95" s="36">
        <f t="shared" si="11"/>
        <v>10153.79551088577</v>
      </c>
      <c r="O95" s="36">
        <f t="shared" si="11"/>
        <v>10898.220177600237</v>
      </c>
    </row>
    <row r="96" spans="2:15" x14ac:dyDescent="0.2">
      <c r="D96" s="49"/>
      <c r="E96" s="253"/>
      <c r="F96" s="253"/>
      <c r="G96" s="253"/>
      <c r="H96" s="138"/>
      <c r="J96" s="263"/>
    </row>
    <row r="97" spans="3:15" x14ac:dyDescent="0.2">
      <c r="C97" s="15" t="s">
        <v>23</v>
      </c>
      <c r="D97" s="48" t="s">
        <v>45</v>
      </c>
      <c r="E97" s="240">
        <f>SUM(E88,E95)</f>
        <v>21483</v>
      </c>
      <c r="F97" s="240">
        <f t="shared" ref="F97:G97" si="12">SUM(F88,F95)</f>
        <v>24349</v>
      </c>
      <c r="G97" s="240">
        <f t="shared" si="12"/>
        <v>26715</v>
      </c>
      <c r="H97" s="138"/>
      <c r="J97" s="265">
        <f>J88+J95</f>
        <v>90122.987500000003</v>
      </c>
      <c r="K97" s="35">
        <f>SUM(K88,K95)</f>
        <v>91162.924973524394</v>
      </c>
      <c r="L97" s="35">
        <f t="shared" ref="L97:O97" si="13">SUM(L88,L95)</f>
        <v>92214.912810991635</v>
      </c>
      <c r="M97" s="35">
        <f t="shared" si="13"/>
        <v>93351.548484173545</v>
      </c>
      <c r="N97" s="35">
        <f t="shared" si="13"/>
        <v>94704.537835989831</v>
      </c>
      <c r="O97" s="35">
        <f t="shared" si="13"/>
        <v>96099.849037859036</v>
      </c>
    </row>
    <row r="98" spans="3:15" x14ac:dyDescent="0.2">
      <c r="D98" s="49"/>
      <c r="E98" s="253"/>
      <c r="F98" s="253"/>
      <c r="G98" s="253"/>
      <c r="H98" s="138"/>
      <c r="J98" s="263"/>
    </row>
    <row r="99" spans="3:15" x14ac:dyDescent="0.2">
      <c r="C99" s="15" t="s">
        <v>30</v>
      </c>
      <c r="D99" s="49"/>
      <c r="E99" s="253"/>
      <c r="F99" s="253"/>
      <c r="G99" s="253"/>
      <c r="H99" s="138"/>
      <c r="J99" s="263"/>
    </row>
    <row r="100" spans="3:15" x14ac:dyDescent="0.2">
      <c r="C100" s="313" t="s">
        <v>32</v>
      </c>
      <c r="D100" s="314" t="s">
        <v>45</v>
      </c>
      <c r="E100" s="315">
        <f>'3_Statment_model'!E165</f>
        <v>-1327</v>
      </c>
      <c r="F100" s="315">
        <f>'3_Statment_model'!F165</f>
        <v>-822</v>
      </c>
      <c r="G100" s="315">
        <f>'3_Statment_model'!G165</f>
        <v>-1043</v>
      </c>
      <c r="H100" s="362">
        <v>1043</v>
      </c>
      <c r="I100" s="363">
        <v>0</v>
      </c>
      <c r="J100" s="316">
        <f>SUM(G100:I100)</f>
        <v>0</v>
      </c>
      <c r="K100" s="365">
        <f>-K206</f>
        <v>-184.53189240903612</v>
      </c>
      <c r="L100" s="365">
        <f t="shared" ref="L100:O100" si="14">-L206</f>
        <v>-140.4481919037255</v>
      </c>
      <c r="M100" s="365">
        <f t="shared" si="14"/>
        <v>0</v>
      </c>
      <c r="N100" s="365">
        <f t="shared" si="14"/>
        <v>0</v>
      </c>
      <c r="O100" s="365">
        <f t="shared" si="14"/>
        <v>0</v>
      </c>
    </row>
    <row r="101" spans="3:15" x14ac:dyDescent="0.2">
      <c r="C101" s="17" t="s">
        <v>80</v>
      </c>
      <c r="D101" s="49" t="s">
        <v>45</v>
      </c>
      <c r="E101" s="253">
        <f>'3_Statment_model'!E166</f>
        <v>-237</v>
      </c>
      <c r="F101" s="253">
        <f>'3_Statment_model'!F166</f>
        <v>-273</v>
      </c>
      <c r="G101" s="253">
        <f>'3_Statment_model'!G166</f>
        <v>-338</v>
      </c>
      <c r="H101" s="382">
        <v>0</v>
      </c>
      <c r="I101" s="37">
        <v>0</v>
      </c>
      <c r="J101" s="263">
        <f>SUM(G101:I101)</f>
        <v>-338</v>
      </c>
      <c r="K101" s="187">
        <f>'3_Statment_model'!H166</f>
        <v>-334.25040360185318</v>
      </c>
      <c r="L101" s="187">
        <f>'3_Statment_model'!I166</f>
        <v>-340.39987629320706</v>
      </c>
      <c r="M101" s="187">
        <f>'3_Statment_model'!J166</f>
        <v>-346.7666488247138</v>
      </c>
      <c r="N101" s="187">
        <f>'3_Statment_model'!K166</f>
        <v>-353.33845867525264</v>
      </c>
      <c r="O101" s="187">
        <f>'3_Statment_model'!L166</f>
        <v>-360.10572291409983</v>
      </c>
    </row>
    <row r="102" spans="3:15" x14ac:dyDescent="0.2">
      <c r="C102" s="17" t="s">
        <v>36</v>
      </c>
      <c r="D102" s="49" t="s">
        <v>45</v>
      </c>
      <c r="E102" s="253">
        <f>'3_Statment_model'!E167</f>
        <v>-7166</v>
      </c>
      <c r="F102" s="253">
        <f>'3_Statment_model'!F167</f>
        <v>-8172</v>
      </c>
      <c r="G102" s="253">
        <f>'3_Statment_model'!G167</f>
        <v>-8639</v>
      </c>
      <c r="H102" s="382">
        <v>0</v>
      </c>
      <c r="I102" s="37">
        <v>0</v>
      </c>
      <c r="J102" s="263">
        <f>SUM(G102:I102)</f>
        <v>-8639</v>
      </c>
      <c r="K102" s="187">
        <f>'3_Statment_model'!H167</f>
        <v>-9181.307009333188</v>
      </c>
      <c r="L102" s="187">
        <f>'3_Statment_model'!I167</f>
        <v>-9819.0777994978489</v>
      </c>
      <c r="M102" s="187">
        <f>'3_Statment_model'!J167</f>
        <v>-10437.95839521201</v>
      </c>
      <c r="N102" s="187">
        <f>'3_Statment_model'!K167</f>
        <v>-11119.848826127019</v>
      </c>
      <c r="O102" s="187">
        <f>'3_Statment_model'!L167</f>
        <v>-11853.758848651403</v>
      </c>
    </row>
    <row r="103" spans="3:15" x14ac:dyDescent="0.2">
      <c r="C103" s="17" t="s">
        <v>33</v>
      </c>
      <c r="D103" s="49" t="s">
        <v>45</v>
      </c>
      <c r="E103" s="253">
        <f>'3_Statment_model'!E168</f>
        <v>-590</v>
      </c>
      <c r="F103" s="253">
        <f>'3_Statment_model'!F168</f>
        <v>-805</v>
      </c>
      <c r="G103" s="383">
        <f>'3_Statment_model'!G168</f>
        <v>-645</v>
      </c>
      <c r="H103" s="386">
        <v>0</v>
      </c>
      <c r="I103" s="37">
        <v>0</v>
      </c>
      <c r="J103" s="380">
        <f>SUM(G103:I103)</f>
        <v>-645</v>
      </c>
      <c r="K103" s="379">
        <f>'3_Statment_model'!H168</f>
        <v>-805.85871388137127</v>
      </c>
      <c r="L103" s="187">
        <f>'3_Statment_model'!I168</f>
        <v>-866.30983753540079</v>
      </c>
      <c r="M103" s="187">
        <f>'3_Statment_model'!J168</f>
        <v>-928.60542518960358</v>
      </c>
      <c r="N103" s="187">
        <f>'3_Statment_model'!K168</f>
        <v>-990.28377025719192</v>
      </c>
      <c r="O103" s="187">
        <f>'3_Statment_model'!L168</f>
        <v>-1055.0986178205953</v>
      </c>
    </row>
    <row r="104" spans="3:15" x14ac:dyDescent="0.2">
      <c r="C104" s="27" t="s">
        <v>34</v>
      </c>
      <c r="D104" s="50" t="s">
        <v>45</v>
      </c>
      <c r="E104" s="254">
        <f>SUM(E100:E103)</f>
        <v>-9320</v>
      </c>
      <c r="F104" s="254">
        <f t="shared" ref="F104:G104" si="15">SUM(F100:F103)</f>
        <v>-10072</v>
      </c>
      <c r="G104" s="240">
        <f t="shared" si="15"/>
        <v>-10665</v>
      </c>
      <c r="H104" s="247"/>
      <c r="I104" s="25"/>
      <c r="J104" s="264">
        <f>SUM(J100:J103)</f>
        <v>-9622</v>
      </c>
      <c r="K104" s="35">
        <f>SUM(K100:K103)</f>
        <v>-10505.948019225449</v>
      </c>
      <c r="L104" s="36">
        <f t="shared" ref="L104:O104" si="16">SUM(L100:L103)</f>
        <v>-11166.235705230181</v>
      </c>
      <c r="M104" s="36">
        <f t="shared" si="16"/>
        <v>-11713.330469226328</v>
      </c>
      <c r="N104" s="36">
        <f t="shared" si="16"/>
        <v>-12463.471055059465</v>
      </c>
      <c r="O104" s="36">
        <f t="shared" si="16"/>
        <v>-13268.963189386099</v>
      </c>
    </row>
    <row r="105" spans="3:15" x14ac:dyDescent="0.2">
      <c r="D105" s="49"/>
      <c r="E105" s="253"/>
      <c r="F105" s="253"/>
      <c r="G105" s="253"/>
      <c r="H105" s="138"/>
      <c r="J105" s="263"/>
    </row>
    <row r="106" spans="3:15" x14ac:dyDescent="0.2">
      <c r="C106" s="15" t="s">
        <v>37</v>
      </c>
      <c r="D106" s="49"/>
      <c r="E106" s="253"/>
      <c r="F106" s="253"/>
      <c r="G106" s="253"/>
      <c r="H106" s="138"/>
      <c r="J106" s="263"/>
    </row>
    <row r="107" spans="3:15" x14ac:dyDescent="0.2">
      <c r="C107" s="313" t="s">
        <v>38</v>
      </c>
      <c r="D107" s="314" t="s">
        <v>45</v>
      </c>
      <c r="E107" s="315">
        <f>'3_Statment_model'!E172</f>
        <v>-2787</v>
      </c>
      <c r="F107" s="315">
        <f>'3_Statment_model'!F172</f>
        <v>-3774</v>
      </c>
      <c r="G107" s="315">
        <f>'3_Statment_model'!G172</f>
        <v>-4383</v>
      </c>
      <c r="H107" s="362">
        <v>4383</v>
      </c>
      <c r="I107" s="365">
        <f>-SUM($D$36:$D$39)</f>
        <v>-29152.5</v>
      </c>
      <c r="J107" s="316">
        <f>SUM(G107:I107)</f>
        <v>-29152.5</v>
      </c>
      <c r="K107" s="365">
        <f>-K212-K218-K224</f>
        <v>-28457.325000000001</v>
      </c>
      <c r="L107" s="365">
        <f t="shared" ref="L107:O107" si="17">-L212-L218-L224</f>
        <v>-27778.96875</v>
      </c>
      <c r="M107" s="365">
        <f t="shared" si="17"/>
        <v>-27044.997258173822</v>
      </c>
      <c r="N107" s="365">
        <f t="shared" si="17"/>
        <v>-25986.60294516588</v>
      </c>
      <c r="O107" s="365">
        <f t="shared" si="17"/>
        <v>-24637.984080761405</v>
      </c>
    </row>
    <row r="108" spans="3:15" x14ac:dyDescent="0.2">
      <c r="C108" s="17" t="s">
        <v>79</v>
      </c>
      <c r="D108" s="49" t="s">
        <v>45</v>
      </c>
      <c r="E108" s="253">
        <f>'3_Statment_model'!E173</f>
        <v>-916</v>
      </c>
      <c r="F108" s="253">
        <f>'3_Statment_model'!F173</f>
        <v>-1042</v>
      </c>
      <c r="G108" s="253">
        <f>'3_Statment_model'!G173</f>
        <v>-1228</v>
      </c>
      <c r="H108" s="382">
        <v>0</v>
      </c>
      <c r="I108" s="37">
        <v>0</v>
      </c>
      <c r="J108" s="263">
        <f>SUM(G108:I108)</f>
        <v>-1228</v>
      </c>
      <c r="K108" s="187">
        <f>'3_Statment_model'!H173</f>
        <v>-1259.9693766155112</v>
      </c>
      <c r="L108" s="187">
        <f>'3_Statment_model'!I173</f>
        <v>-1283.1500435345215</v>
      </c>
      <c r="M108" s="187">
        <f>'3_Statment_model'!J173</f>
        <v>-1307.1498303145272</v>
      </c>
      <c r="N108" s="187">
        <f>'3_Statment_model'!K173</f>
        <v>-1331.9225129243055</v>
      </c>
      <c r="O108" s="187">
        <f>'3_Statment_model'!L173</f>
        <v>-1357.4319681486868</v>
      </c>
    </row>
    <row r="109" spans="3:15" x14ac:dyDescent="0.2">
      <c r="C109" s="17" t="s">
        <v>78</v>
      </c>
      <c r="D109" s="49" t="s">
        <v>45</v>
      </c>
      <c r="E109" s="253">
        <f>'3_Statment_model'!E174</f>
        <v>-2160</v>
      </c>
      <c r="F109" s="253">
        <f>'3_Statment_model'!F174</f>
        <v>-2555</v>
      </c>
      <c r="G109" s="383">
        <f>'3_Statment_model'!G174</f>
        <v>-2679</v>
      </c>
      <c r="H109" s="386">
        <v>0</v>
      </c>
      <c r="I109" s="37">
        <v>0</v>
      </c>
      <c r="J109" s="380">
        <f>SUM(G109:I109)</f>
        <v>-2679</v>
      </c>
      <c r="K109" s="379">
        <f>'3_Statment_model'!H174</f>
        <v>-2910.290405656739</v>
      </c>
      <c r="L109" s="187">
        <f>'3_Statment_model'!I174</f>
        <v>-3128.6045122749242</v>
      </c>
      <c r="M109" s="187">
        <f>'3_Statment_model'!J174</f>
        <v>-3353.579744212992</v>
      </c>
      <c r="N109" s="187">
        <f>'3_Statment_model'!K174</f>
        <v>-3576.3258568937467</v>
      </c>
      <c r="O109" s="187">
        <f>'3_Statment_model'!L174</f>
        <v>-3810.3991823521906</v>
      </c>
    </row>
    <row r="110" spans="3:15" x14ac:dyDescent="0.2">
      <c r="C110" s="27" t="s">
        <v>39</v>
      </c>
      <c r="D110" s="50" t="s">
        <v>45</v>
      </c>
      <c r="E110" s="254">
        <f>SUM(E107:E109)</f>
        <v>-5863</v>
      </c>
      <c r="F110" s="254">
        <f t="shared" ref="F110:G110" si="18">SUM(F107:F109)</f>
        <v>-7371</v>
      </c>
      <c r="G110" s="240">
        <f t="shared" si="18"/>
        <v>-8290</v>
      </c>
      <c r="H110" s="247"/>
      <c r="I110" s="25"/>
      <c r="J110" s="264">
        <f>SUM(J107:J109)</f>
        <v>-33059.5</v>
      </c>
      <c r="K110" s="35">
        <f>SUM(K107:K109)</f>
        <v>-32627.58478227225</v>
      </c>
      <c r="L110" s="36">
        <f t="shared" ref="L110:O110" si="19">SUM(L107:L109)</f>
        <v>-32190.723305809446</v>
      </c>
      <c r="M110" s="36">
        <f t="shared" si="19"/>
        <v>-31705.726832701341</v>
      </c>
      <c r="N110" s="36">
        <f t="shared" si="19"/>
        <v>-30894.851314983931</v>
      </c>
      <c r="O110" s="36">
        <f t="shared" si="19"/>
        <v>-29805.815231262281</v>
      </c>
    </row>
    <row r="111" spans="3:15" x14ac:dyDescent="0.2">
      <c r="D111" s="49"/>
      <c r="E111" s="253"/>
      <c r="F111" s="253"/>
      <c r="G111" s="253"/>
      <c r="H111" s="138"/>
      <c r="J111" s="263"/>
    </row>
    <row r="112" spans="3:15" x14ac:dyDescent="0.2">
      <c r="C112" s="15" t="s">
        <v>40</v>
      </c>
      <c r="D112" s="48" t="s">
        <v>45</v>
      </c>
      <c r="E112" s="240">
        <f>SUM(E110,E104)</f>
        <v>-15183</v>
      </c>
      <c r="F112" s="240">
        <f t="shared" ref="F112:G112" si="20">SUM(F110,F104)</f>
        <v>-17443</v>
      </c>
      <c r="G112" s="240">
        <f t="shared" si="20"/>
        <v>-18955</v>
      </c>
      <c r="H112" s="138"/>
      <c r="J112" s="265">
        <f>J104+J110</f>
        <v>-42681.5</v>
      </c>
      <c r="K112" s="35">
        <f>K104+K110</f>
        <v>-43133.532801497699</v>
      </c>
      <c r="L112" s="35">
        <f t="shared" ref="L112:O112" si="21">L104+L110</f>
        <v>-43356.959011039624</v>
      </c>
      <c r="M112" s="35">
        <f t="shared" si="21"/>
        <v>-43419.057301927671</v>
      </c>
      <c r="N112" s="35">
        <f t="shared" si="21"/>
        <v>-43358.322370043395</v>
      </c>
      <c r="O112" s="35">
        <f t="shared" si="21"/>
        <v>-43074.778420648378</v>
      </c>
    </row>
    <row r="113" spans="2:21" x14ac:dyDescent="0.2">
      <c r="D113" s="49"/>
      <c r="E113" s="253"/>
      <c r="F113" s="253"/>
      <c r="G113" s="383"/>
      <c r="H113" s="138"/>
      <c r="J113" s="263"/>
    </row>
    <row r="114" spans="2:21" ht="17" thickBot="1" x14ac:dyDescent="0.25">
      <c r="C114" s="128" t="s">
        <v>41</v>
      </c>
      <c r="D114" s="129" t="s">
        <v>45</v>
      </c>
      <c r="E114" s="255">
        <f>E97+E112</f>
        <v>6300</v>
      </c>
      <c r="F114" s="255">
        <f t="shared" ref="F114:G114" si="22">F97+F112</f>
        <v>6906</v>
      </c>
      <c r="G114" s="255">
        <f t="shared" si="22"/>
        <v>7760</v>
      </c>
      <c r="H114" s="260"/>
      <c r="I114" s="261"/>
      <c r="J114" s="266">
        <f>J97+J112</f>
        <v>47441.487500000003</v>
      </c>
      <c r="K114" s="130">
        <f t="shared" ref="K114:O114" si="23">K97+K112</f>
        <v>48029.392172026695</v>
      </c>
      <c r="L114" s="130">
        <f t="shared" si="23"/>
        <v>48857.953799952011</v>
      </c>
      <c r="M114" s="130">
        <f t="shared" si="23"/>
        <v>49932.491182245874</v>
      </c>
      <c r="N114" s="130">
        <f t="shared" si="23"/>
        <v>51346.215465946436</v>
      </c>
      <c r="O114" s="130">
        <f t="shared" si="23"/>
        <v>53025.070617210658</v>
      </c>
      <c r="Q114" s="37"/>
      <c r="R114" s="37"/>
      <c r="S114" s="37"/>
      <c r="T114" s="37"/>
      <c r="U114" s="37"/>
    </row>
    <row r="115" spans="2:21" ht="17" thickTop="1" x14ac:dyDescent="0.2">
      <c r="D115" s="49"/>
      <c r="E115" s="253"/>
      <c r="F115" s="253"/>
      <c r="G115" s="253"/>
      <c r="H115" s="138"/>
      <c r="J115" s="263"/>
    </row>
    <row r="116" spans="2:21" x14ac:dyDescent="0.2">
      <c r="B116" s="40" t="s">
        <v>28</v>
      </c>
      <c r="C116" s="39"/>
      <c r="D116" s="38"/>
      <c r="E116" s="38"/>
      <c r="F116" s="38"/>
      <c r="G116" s="38"/>
      <c r="H116" s="259"/>
      <c r="I116" s="38"/>
      <c r="J116" s="269"/>
      <c r="K116" s="38"/>
      <c r="L116" s="38"/>
      <c r="M116" s="38"/>
      <c r="N116" s="38"/>
      <c r="O116" s="38"/>
    </row>
    <row r="117" spans="2:21" x14ac:dyDescent="0.2">
      <c r="C117" s="313" t="s">
        <v>754</v>
      </c>
      <c r="D117" s="314" t="s">
        <v>45</v>
      </c>
      <c r="E117" s="315">
        <f>'3_Statment_model'!E182</f>
        <v>6263</v>
      </c>
      <c r="F117" s="315">
        <f>'3_Statment_model'!F182</f>
        <v>6829</v>
      </c>
      <c r="G117" s="315">
        <f>'3_Statment_model'!G182</f>
        <v>7653</v>
      </c>
      <c r="H117" s="362">
        <f>E54-K38</f>
        <v>-8385.5293750000001</v>
      </c>
      <c r="I117" s="363">
        <f>D40+D42</f>
        <v>48067.016875000001</v>
      </c>
      <c r="J117" s="316">
        <f>SUM(G117:I117)</f>
        <v>47334.487500000003</v>
      </c>
      <c r="K117" s="381">
        <f>J117+K125+K143+K144</f>
        <v>47922.392172026703</v>
      </c>
      <c r="L117" s="365">
        <f>K117+L125+L143+L144</f>
        <v>48750.953799952011</v>
      </c>
      <c r="M117" s="365">
        <f>L117+M125+M143+M144</f>
        <v>49825.491182245867</v>
      </c>
      <c r="N117" s="365">
        <f>M117+N125+N143+N144</f>
        <v>51239.215465946443</v>
      </c>
      <c r="O117" s="365">
        <f>N117+O125+O143+O144</f>
        <v>52918.07061721068</v>
      </c>
    </row>
    <row r="118" spans="2:21" x14ac:dyDescent="0.2">
      <c r="C118" s="17" t="s">
        <v>42</v>
      </c>
      <c r="D118" s="49" t="s">
        <v>45</v>
      </c>
      <c r="E118" s="253">
        <f>'3_Statment_model'!E183</f>
        <v>37</v>
      </c>
      <c r="F118" s="253">
        <f>'3_Statment_model'!F183</f>
        <v>77</v>
      </c>
      <c r="G118" s="253">
        <f>'3_Statment_model'!G183</f>
        <v>107</v>
      </c>
      <c r="H118" s="382">
        <v>0</v>
      </c>
      <c r="I118" s="37">
        <v>0</v>
      </c>
      <c r="J118" s="263">
        <f>SUM(G118:I118)</f>
        <v>107</v>
      </c>
      <c r="K118" s="187">
        <f>'3_Statment_model'!H183</f>
        <v>107</v>
      </c>
      <c r="L118" s="187">
        <f>'3_Statment_model'!I183</f>
        <v>107</v>
      </c>
      <c r="M118" s="187">
        <f>'3_Statment_model'!J183</f>
        <v>107</v>
      </c>
      <c r="N118" s="187">
        <f>'3_Statment_model'!K183</f>
        <v>107</v>
      </c>
      <c r="O118" s="187">
        <f>'3_Statment_model'!L183</f>
        <v>107</v>
      </c>
    </row>
    <row r="119" spans="2:21" x14ac:dyDescent="0.2">
      <c r="D119" s="49"/>
      <c r="E119" s="253"/>
      <c r="F119" s="253"/>
      <c r="G119" s="253"/>
      <c r="H119" s="138"/>
      <c r="J119" s="263"/>
    </row>
    <row r="120" spans="2:21" ht="17" thickBot="1" x14ac:dyDescent="0.25">
      <c r="C120" s="128" t="s">
        <v>43</v>
      </c>
      <c r="D120" s="129" t="s">
        <v>45</v>
      </c>
      <c r="E120" s="255">
        <f>SUM(E117:E118)</f>
        <v>6300</v>
      </c>
      <c r="F120" s="255">
        <f t="shared" ref="F120:G120" si="24">SUM(F117:F118)</f>
        <v>6906</v>
      </c>
      <c r="G120" s="255">
        <f t="shared" si="24"/>
        <v>7760</v>
      </c>
      <c r="H120" s="260"/>
      <c r="I120" s="261"/>
      <c r="J120" s="266">
        <f>SUM(J117:J118)</f>
        <v>47441.487500000003</v>
      </c>
      <c r="K120" s="130">
        <f>SUM(K117:K118)</f>
        <v>48029.392172026703</v>
      </c>
      <c r="L120" s="130">
        <f t="shared" ref="L120:O120" si="25">SUM(L117:L118)</f>
        <v>48857.953799952011</v>
      </c>
      <c r="M120" s="130">
        <f t="shared" si="25"/>
        <v>49932.491182245867</v>
      </c>
      <c r="N120" s="130">
        <f t="shared" si="25"/>
        <v>51346.215465946443</v>
      </c>
      <c r="O120" s="130">
        <f t="shared" si="25"/>
        <v>53025.07061721068</v>
      </c>
    </row>
    <row r="121" spans="2:21" ht="17" thickTop="1" x14ac:dyDescent="0.2"/>
    <row r="122" spans="2:21" x14ac:dyDescent="0.2">
      <c r="B122" s="1"/>
      <c r="C122" s="1"/>
      <c r="D122" s="3"/>
      <c r="E122" s="10"/>
      <c r="F122" s="10" t="s">
        <v>4</v>
      </c>
      <c r="G122" s="11"/>
      <c r="H122" s="375" t="s">
        <v>946</v>
      </c>
      <c r="I122" s="238"/>
      <c r="J122" s="378"/>
      <c r="K122" s="13"/>
      <c r="L122" s="14"/>
      <c r="M122" s="14" t="s">
        <v>5</v>
      </c>
      <c r="N122" s="14"/>
      <c r="O122" s="14"/>
    </row>
    <row r="123" spans="2:21" x14ac:dyDescent="0.2">
      <c r="B123" s="2" t="s">
        <v>8</v>
      </c>
      <c r="C123" s="1"/>
      <c r="D123" s="47" t="s">
        <v>3</v>
      </c>
      <c r="E123" s="45">
        <f>EOMONTH(F123,-12)</f>
        <v>45199</v>
      </c>
      <c r="F123" s="45">
        <f>EOMONTH(G123,-12)</f>
        <v>45565</v>
      </c>
      <c r="G123" s="45">
        <f>E4</f>
        <v>45930</v>
      </c>
      <c r="H123" s="376" t="s">
        <v>947</v>
      </c>
      <c r="I123" s="45" t="s">
        <v>948</v>
      </c>
      <c r="J123" s="377">
        <f>G123</f>
        <v>45930</v>
      </c>
      <c r="K123" s="45">
        <f>EOMONTH(G123,12)</f>
        <v>46295</v>
      </c>
      <c r="L123" s="45">
        <f t="shared" ref="L123:O123" si="26">EOMONTH(K123,12)</f>
        <v>46660</v>
      </c>
      <c r="M123" s="45">
        <f t="shared" si="26"/>
        <v>47026</v>
      </c>
      <c r="N123" s="45">
        <f t="shared" si="26"/>
        <v>47391</v>
      </c>
      <c r="O123" s="45">
        <f t="shared" si="26"/>
        <v>47756</v>
      </c>
    </row>
    <row r="124" spans="2:21" x14ac:dyDescent="0.2">
      <c r="B124" s="52" t="s">
        <v>46</v>
      </c>
      <c r="C124" s="311"/>
      <c r="D124" s="292"/>
      <c r="E124" s="292" t="s">
        <v>47</v>
      </c>
      <c r="F124" s="292" t="s">
        <v>47</v>
      </c>
      <c r="G124" s="311" t="s">
        <v>47</v>
      </c>
      <c r="H124" s="332"/>
      <c r="I124" s="29"/>
      <c r="J124" s="257"/>
      <c r="K124" s="311" t="s">
        <v>47</v>
      </c>
      <c r="L124" s="292"/>
      <c r="M124" s="292"/>
      <c r="N124" s="292"/>
      <c r="O124" s="292"/>
    </row>
    <row r="125" spans="2:21" x14ac:dyDescent="0.2">
      <c r="C125" s="17" t="s">
        <v>15</v>
      </c>
      <c r="D125" s="49" t="s">
        <v>45</v>
      </c>
      <c r="E125" s="245">
        <f>E77</f>
        <v>1612</v>
      </c>
      <c r="F125" s="245">
        <f>F77</f>
        <v>1414</v>
      </c>
      <c r="G125" s="245">
        <f>G77</f>
        <v>1880</v>
      </c>
      <c r="H125" s="251"/>
      <c r="I125" s="245"/>
      <c r="J125" s="267"/>
      <c r="K125" s="245">
        <f>K77</f>
        <v>587.90467202669743</v>
      </c>
      <c r="L125" s="245">
        <f>L77</f>
        <v>828.56162792530563</v>
      </c>
      <c r="M125" s="245">
        <f>M77</f>
        <v>1074.5373822938582</v>
      </c>
      <c r="N125" s="245">
        <f>N77</f>
        <v>1413.7242837005726</v>
      </c>
      <c r="O125" s="245">
        <f>O77</f>
        <v>1678.8551512642348</v>
      </c>
    </row>
    <row r="126" spans="2:21" x14ac:dyDescent="0.2">
      <c r="C126" s="17" t="s">
        <v>722</v>
      </c>
      <c r="D126" s="49" t="s">
        <v>45</v>
      </c>
      <c r="E126" s="187">
        <f>'3_Statment_model'!E191</f>
        <v>819</v>
      </c>
      <c r="F126" s="187">
        <f>'3_Statment_model'!F191</f>
        <v>924</v>
      </c>
      <c r="G126" s="187">
        <f>'3_Statment_model'!G191</f>
        <v>1040</v>
      </c>
      <c r="H126" s="138"/>
      <c r="J126" s="243"/>
      <c r="K126" s="187">
        <f>'3_Statment_model'!H191</f>
        <v>1090.2851699272719</v>
      </c>
      <c r="L126" s="187">
        <f>'3_Statment_model'!I191</f>
        <v>1146.9255956869656</v>
      </c>
      <c r="M126" s="187">
        <f>'3_Statment_model'!J191</f>
        <v>1216.4558749382193</v>
      </c>
      <c r="N126" s="187">
        <f>'3_Statment_model'!K191</f>
        <v>1297.040149531214</v>
      </c>
      <c r="O126" s="187">
        <f>'3_Statment_model'!L191</f>
        <v>1387.6125871932811</v>
      </c>
    </row>
    <row r="127" spans="2:21" x14ac:dyDescent="0.2">
      <c r="C127" s="17" t="s">
        <v>721</v>
      </c>
      <c r="D127" s="49" t="s">
        <v>45</v>
      </c>
      <c r="E127" s="187">
        <f>'3_Statment_model'!E192</f>
        <v>199</v>
      </c>
      <c r="F127" s="187">
        <f>'3_Statment_model'!F192</f>
        <v>220</v>
      </c>
      <c r="G127" s="187">
        <f>'3_Statment_model'!G192</f>
        <v>262</v>
      </c>
      <c r="H127" s="138"/>
      <c r="J127" s="243"/>
      <c r="K127" s="187">
        <f>'3_Statment_model'!H192</f>
        <v>264.75780050279371</v>
      </c>
      <c r="L127" s="187">
        <f>'3_Statment_model'!I192</f>
        <v>269.52881387509359</v>
      </c>
      <c r="M127" s="187">
        <f>'3_Statment_model'!J192</f>
        <v>274.48755158370142</v>
      </c>
      <c r="N127" s="187">
        <f>'3_Statment_model'!K192</f>
        <v>279.62151291968718</v>
      </c>
      <c r="O127" s="187">
        <f>'3_Statment_model'!L192</f>
        <v>284.92080977899116</v>
      </c>
    </row>
    <row r="128" spans="2:21" x14ac:dyDescent="0.2">
      <c r="C128" s="17" t="s">
        <v>63</v>
      </c>
      <c r="D128" s="49" t="s">
        <v>45</v>
      </c>
      <c r="E128" s="187">
        <f>'3_Statment_model'!E193</f>
        <v>26</v>
      </c>
      <c r="F128" s="187">
        <f>'3_Statment_model'!F193</f>
        <v>391</v>
      </c>
      <c r="G128" s="187">
        <f>'3_Statment_model'!G193</f>
        <v>224</v>
      </c>
      <c r="H128" s="138"/>
      <c r="J128" s="243"/>
      <c r="K128" s="187">
        <f>'3_Statment_model'!H193</f>
        <v>231.29040565673904</v>
      </c>
      <c r="L128" s="187">
        <f>'3_Statment_model'!I193</f>
        <v>218.31410661818518</v>
      </c>
      <c r="M128" s="187">
        <f>'3_Statment_model'!J193</f>
        <v>224.97523193806774</v>
      </c>
      <c r="N128" s="187">
        <f>'3_Statment_model'!K193</f>
        <v>222.74611268075478</v>
      </c>
      <c r="O128" s="187">
        <f>'3_Statment_model'!L193</f>
        <v>234.07332545844383</v>
      </c>
    </row>
    <row r="129" spans="2:15" x14ac:dyDescent="0.2">
      <c r="C129" s="17" t="s">
        <v>51</v>
      </c>
      <c r="D129" s="49" t="s">
        <v>45</v>
      </c>
      <c r="E129" s="187">
        <f>'3_Statment_model'!E194</f>
        <v>-120</v>
      </c>
      <c r="F129" s="187">
        <f>'3_Statment_model'!F194</f>
        <v>186</v>
      </c>
      <c r="G129" s="187">
        <f>'3_Statment_model'!G194</f>
        <v>-40</v>
      </c>
      <c r="H129" s="138"/>
      <c r="J129" s="243"/>
      <c r="K129" s="187">
        <f>'3_Statment_model'!H194</f>
        <v>40.169326745284707</v>
      </c>
      <c r="L129" s="187">
        <f>'3_Statment_model'!I194</f>
        <v>101.37951960654016</v>
      </c>
      <c r="M129" s="187">
        <f>'3_Statment_model'!J194</f>
        <v>92.823282690107817</v>
      </c>
      <c r="N129" s="187">
        <f>'3_Statment_model'!K194</f>
        <v>94.711763917488838</v>
      </c>
      <c r="O129" s="187">
        <f>'3_Statment_model'!L194</f>
        <v>157.53165566174926</v>
      </c>
    </row>
    <row r="130" spans="2:15" x14ac:dyDescent="0.2">
      <c r="C130" s="312" t="s">
        <v>949</v>
      </c>
      <c r="D130" s="330" t="s">
        <v>45</v>
      </c>
      <c r="E130" s="331"/>
      <c r="F130" s="331"/>
      <c r="G130" s="331"/>
      <c r="H130" s="319"/>
      <c r="I130" s="320"/>
      <c r="J130" s="321"/>
      <c r="K130" s="366">
        <f>-K71</f>
        <v>83.292857142857159</v>
      </c>
      <c r="L130" s="366">
        <f t="shared" ref="L130:O130" si="27">-L71</f>
        <v>83.292857142857159</v>
      </c>
      <c r="M130" s="366">
        <f t="shared" si="27"/>
        <v>83.292857142857159</v>
      </c>
      <c r="N130" s="366">
        <f t="shared" si="27"/>
        <v>83.292857142857159</v>
      </c>
      <c r="O130" s="366">
        <f t="shared" si="27"/>
        <v>83.292857142857159</v>
      </c>
    </row>
    <row r="131" spans="2:15" x14ac:dyDescent="0.2">
      <c r="C131" s="322" t="s">
        <v>950</v>
      </c>
      <c r="D131" s="328" t="s">
        <v>45</v>
      </c>
      <c r="E131" s="329"/>
      <c r="F131" s="329"/>
      <c r="G131" s="329"/>
      <c r="H131" s="325"/>
      <c r="I131" s="326"/>
      <c r="J131" s="327"/>
      <c r="K131" s="425">
        <f>K222</f>
        <v>336.375</v>
      </c>
      <c r="L131" s="425">
        <f t="shared" ref="L131:O131" si="28">L222</f>
        <v>353.19375000000002</v>
      </c>
      <c r="M131" s="425">
        <f t="shared" si="28"/>
        <v>370.85343750000004</v>
      </c>
      <c r="N131" s="425">
        <f t="shared" si="28"/>
        <v>389.39610937500004</v>
      </c>
      <c r="O131" s="425">
        <f t="shared" si="28"/>
        <v>408.86591484375003</v>
      </c>
    </row>
    <row r="132" spans="2:15" x14ac:dyDescent="0.2">
      <c r="C132" s="27" t="s">
        <v>56</v>
      </c>
      <c r="D132" s="55" t="s">
        <v>45</v>
      </c>
      <c r="E132" s="240">
        <f>SUM(E125:E131)</f>
        <v>2536</v>
      </c>
      <c r="F132" s="240">
        <f>SUM(F125:F131)</f>
        <v>3135</v>
      </c>
      <c r="G132" s="240">
        <f>SUM(G125:G131)</f>
        <v>3366</v>
      </c>
      <c r="H132" s="244"/>
      <c r="I132" s="240"/>
      <c r="J132" s="242"/>
      <c r="K132" s="240">
        <f>SUM(K125:K131)</f>
        <v>2634.0752320016441</v>
      </c>
      <c r="L132" s="240">
        <f>SUM(L125:L131)</f>
        <v>3001.1962708549472</v>
      </c>
      <c r="M132" s="240">
        <f>SUM(M125:M131)</f>
        <v>3337.4256180868119</v>
      </c>
      <c r="N132" s="240">
        <f>SUM(N125:N131)</f>
        <v>3780.5327892675746</v>
      </c>
      <c r="O132" s="240">
        <f>SUM(O125:O131)</f>
        <v>4235.152301343307</v>
      </c>
    </row>
    <row r="133" spans="2:15" x14ac:dyDescent="0.2">
      <c r="H133" s="138"/>
      <c r="J133" s="243"/>
    </row>
    <row r="134" spans="2:15" x14ac:dyDescent="0.2">
      <c r="B134" s="292" t="s">
        <v>52</v>
      </c>
      <c r="C134" s="292"/>
      <c r="D134" s="334"/>
      <c r="E134" s="335"/>
      <c r="F134" s="335"/>
      <c r="G134" s="335"/>
      <c r="H134" s="340"/>
      <c r="I134" s="333"/>
      <c r="J134" s="341"/>
      <c r="K134" s="333"/>
      <c r="L134" s="333"/>
      <c r="M134" s="333"/>
      <c r="N134" s="333"/>
      <c r="O134" s="333"/>
    </row>
    <row r="135" spans="2:15" x14ac:dyDescent="0.2">
      <c r="C135" s="17" t="s">
        <v>55</v>
      </c>
      <c r="D135" s="49" t="s">
        <v>45</v>
      </c>
      <c r="E135" s="246">
        <f>'3_Statment_model'!E198</f>
        <v>-1010</v>
      </c>
      <c r="F135" s="246">
        <f>'3_Statment_model'!F198</f>
        <v>-1328</v>
      </c>
      <c r="G135" s="246">
        <f>'3_Statment_model'!G198</f>
        <v>-1317</v>
      </c>
      <c r="H135" s="138"/>
      <c r="J135" s="243"/>
      <c r="K135" s="246">
        <f>'3_Statment_model'!H198</f>
        <v>-1440.401904628045</v>
      </c>
      <c r="L135" s="246">
        <f>'3_Statment_model'!I198</f>
        <v>-1574.7199599600003</v>
      </c>
      <c r="M135" s="246">
        <f>'3_Statment_model'!J198</f>
        <v>-1712.6632859763604</v>
      </c>
      <c r="N135" s="246">
        <f>'3_Statment_model'!K198</f>
        <v>-1856.2798727322775</v>
      </c>
      <c r="O135" s="246">
        <f>'3_Statment_model'!L198</f>
        <v>-2005.0035409462848</v>
      </c>
    </row>
    <row r="136" spans="2:15" x14ac:dyDescent="0.2">
      <c r="C136" s="17" t="s">
        <v>54</v>
      </c>
      <c r="D136" s="49" t="s">
        <v>45</v>
      </c>
      <c r="E136" s="246">
        <f>'3_Statment_model'!E199</f>
        <v>-340</v>
      </c>
      <c r="F136" s="246">
        <f>'3_Statment_model'!F199</f>
        <v>-265</v>
      </c>
      <c r="G136" s="246">
        <f>'3_Statment_model'!G199</f>
        <v>-1187</v>
      </c>
      <c r="H136" s="138"/>
      <c r="J136" s="243"/>
      <c r="K136" s="246">
        <f>'3_Statment_model'!H199</f>
        <v>0</v>
      </c>
      <c r="L136" s="246">
        <f>'3_Statment_model'!I199</f>
        <v>0</v>
      </c>
      <c r="M136" s="246">
        <f>'3_Statment_model'!J199</f>
        <v>0</v>
      </c>
      <c r="N136" s="246">
        <f>'3_Statment_model'!K199</f>
        <v>0</v>
      </c>
      <c r="O136" s="246">
        <f>'3_Statment_model'!L199</f>
        <v>0</v>
      </c>
    </row>
    <row r="137" spans="2:15" x14ac:dyDescent="0.2">
      <c r="C137" s="17" t="s">
        <v>62</v>
      </c>
      <c r="D137" s="49" t="s">
        <v>45</v>
      </c>
      <c r="E137" s="246">
        <f>'3_Statment_model'!E200</f>
        <v>121</v>
      </c>
      <c r="F137" s="246">
        <f>'3_Statment_model'!F200</f>
        <v>104</v>
      </c>
      <c r="G137" s="246">
        <f>'3_Statment_model'!G200</f>
        <v>80</v>
      </c>
      <c r="H137" s="138"/>
      <c r="J137" s="243"/>
      <c r="K137" s="246">
        <f>'3_Statment_model'!H200</f>
        <v>-70.874999999999545</v>
      </c>
      <c r="L137" s="246">
        <f>'3_Statment_model'!I200</f>
        <v>-70.092750000000251</v>
      </c>
      <c r="M137" s="246">
        <f>'3_Statment_model'!J200</f>
        <v>-69.14919374999954</v>
      </c>
      <c r="N137" s="246">
        <f>'3_Statment_model'!K200</f>
        <v>-70.877923593749529</v>
      </c>
      <c r="O137" s="246">
        <f>'3_Statment_model'!L200</f>
        <v>-72.649871683593574</v>
      </c>
    </row>
    <row r="138" spans="2:15" x14ac:dyDescent="0.2">
      <c r="C138" s="27" t="s">
        <v>67</v>
      </c>
      <c r="D138" s="50" t="s">
        <v>45</v>
      </c>
      <c r="E138" s="254">
        <f>SUM(E135:E137)</f>
        <v>-1229</v>
      </c>
      <c r="F138" s="254">
        <f t="shared" ref="F138:G138" si="29">SUM(F135:F137)</f>
        <v>-1489</v>
      </c>
      <c r="G138" s="254">
        <f t="shared" si="29"/>
        <v>-2424</v>
      </c>
      <c r="H138" s="244"/>
      <c r="I138" s="254"/>
      <c r="J138" s="242"/>
      <c r="K138" s="254">
        <f t="shared" ref="K138" si="30">SUM(K135:K137)</f>
        <v>-1511.2769046280446</v>
      </c>
      <c r="L138" s="254">
        <f t="shared" ref="L138" si="31">SUM(L135:L137)</f>
        <v>-1644.8127099600006</v>
      </c>
      <c r="M138" s="254">
        <f t="shared" ref="M138:N138" si="32">SUM(M135:M137)</f>
        <v>-1781.8124797263599</v>
      </c>
      <c r="N138" s="254">
        <f t="shared" si="32"/>
        <v>-1927.157796326027</v>
      </c>
      <c r="O138" s="254">
        <f t="shared" ref="O138" si="33">SUM(O135:O137)</f>
        <v>-2077.6534126298784</v>
      </c>
    </row>
    <row r="139" spans="2:15" x14ac:dyDescent="0.2">
      <c r="H139" s="138"/>
      <c r="J139" s="243"/>
    </row>
    <row r="140" spans="2:15" x14ac:dyDescent="0.2">
      <c r="B140" s="292" t="s">
        <v>57</v>
      </c>
      <c r="C140" s="292"/>
      <c r="D140" s="334"/>
      <c r="E140" s="335"/>
      <c r="F140" s="335"/>
      <c r="G140" s="335"/>
      <c r="H140" s="340"/>
      <c r="I140" s="333"/>
      <c r="J140" s="373"/>
      <c r="K140" s="374"/>
      <c r="L140" s="333"/>
      <c r="M140" s="333"/>
      <c r="N140" s="333"/>
      <c r="O140" s="333"/>
    </row>
    <row r="141" spans="2:15" x14ac:dyDescent="0.2">
      <c r="C141" s="346" t="s">
        <v>995</v>
      </c>
      <c r="D141" s="342" t="s">
        <v>45</v>
      </c>
      <c r="E141" s="343">
        <f>'3_Statment_model'!E204</f>
        <v>-542</v>
      </c>
      <c r="F141" s="343">
        <f>'3_Statment_model'!F204</f>
        <v>-211</v>
      </c>
      <c r="G141" s="343">
        <f>'3_Statment_model'!G204</f>
        <v>530</v>
      </c>
      <c r="H141" s="344"/>
      <c r="I141" s="343"/>
      <c r="J141" s="372"/>
      <c r="K141" s="447">
        <v>0</v>
      </c>
      <c r="L141" s="447">
        <v>0</v>
      </c>
      <c r="M141" s="447">
        <v>0</v>
      </c>
      <c r="N141" s="447">
        <v>0</v>
      </c>
      <c r="O141" s="447">
        <v>0</v>
      </c>
    </row>
    <row r="142" spans="2:15" x14ac:dyDescent="0.2">
      <c r="C142" s="17" t="s">
        <v>59</v>
      </c>
      <c r="D142" s="49" t="s">
        <v>45</v>
      </c>
      <c r="E142" s="187">
        <f>'3_Statment_model'!E205</f>
        <v>-215</v>
      </c>
      <c r="F142" s="187">
        <f>'3_Statment_model'!F205</f>
        <v>-227</v>
      </c>
      <c r="G142" s="187">
        <f>'3_Statment_model'!G205</f>
        <v>-265</v>
      </c>
      <c r="H142" s="138"/>
      <c r="J142" s="243"/>
      <c r="K142" s="187">
        <f>'3_Statment_model'!H205</f>
        <v>-275.7802197826357</v>
      </c>
      <c r="L142" s="187">
        <f>'3_Statment_model'!I205</f>
        <v>-280.74986038963596</v>
      </c>
      <c r="M142" s="187">
        <f>'3_Statment_model'!J205</f>
        <v>-285.91504068848758</v>
      </c>
      <c r="N142" s="187">
        <f>'3_Statment_model'!K205</f>
        <v>-291.26273953968251</v>
      </c>
      <c r="O142" s="187">
        <f>'3_Statment_model'!L205</f>
        <v>-296.78265717677164</v>
      </c>
    </row>
    <row r="143" spans="2:15" x14ac:dyDescent="0.2">
      <c r="C143" s="17" t="s">
        <v>60</v>
      </c>
      <c r="D143" s="49" t="s">
        <v>45</v>
      </c>
      <c r="E143" s="187">
        <f>'3_Statment_model'!E206</f>
        <v>-803</v>
      </c>
      <c r="F143" s="187">
        <f>'3_Statment_model'!F206</f>
        <v>-973</v>
      </c>
      <c r="G143" s="187">
        <f>'3_Statment_model'!G206</f>
        <v>-1055</v>
      </c>
      <c r="H143" s="138"/>
      <c r="J143" s="243"/>
      <c r="K143" s="345">
        <v>0</v>
      </c>
      <c r="L143" s="345">
        <v>0</v>
      </c>
      <c r="M143" s="345">
        <v>0</v>
      </c>
      <c r="N143" s="345">
        <v>0</v>
      </c>
      <c r="O143" s="345">
        <v>0</v>
      </c>
    </row>
    <row r="144" spans="2:15" x14ac:dyDescent="0.2">
      <c r="C144" s="17" t="s">
        <v>61</v>
      </c>
      <c r="D144" s="49" t="s">
        <v>45</v>
      </c>
      <c r="E144" s="187">
        <f>'3_Statment_model'!E207</f>
        <v>-1167</v>
      </c>
      <c r="F144" s="187">
        <f>'3_Statment_model'!F207</f>
        <v>-577</v>
      </c>
      <c r="G144" s="187">
        <f>'3_Statment_model'!G207</f>
        <v>-115</v>
      </c>
      <c r="H144" s="138"/>
      <c r="J144" s="243"/>
      <c r="K144" s="345">
        <v>0</v>
      </c>
      <c r="L144" s="345">
        <v>0</v>
      </c>
      <c r="M144" s="345">
        <v>0</v>
      </c>
      <c r="N144" s="345">
        <v>0</v>
      </c>
      <c r="O144" s="345">
        <v>0</v>
      </c>
    </row>
    <row r="145" spans="3:15" x14ac:dyDescent="0.2">
      <c r="C145" s="17" t="s">
        <v>64</v>
      </c>
      <c r="D145" s="49" t="s">
        <v>45</v>
      </c>
      <c r="E145" s="187">
        <f>'3_Statment_model'!E208</f>
        <v>147</v>
      </c>
      <c r="F145" s="187">
        <f>'3_Statment_model'!F208</f>
        <v>46</v>
      </c>
      <c r="G145" s="187">
        <f>'3_Statment_model'!G208</f>
        <v>-140</v>
      </c>
      <c r="H145" s="138"/>
      <c r="J145" s="243"/>
      <c r="K145" s="345">
        <v>0</v>
      </c>
      <c r="L145" s="345">
        <v>0</v>
      </c>
      <c r="M145" s="345">
        <v>0</v>
      </c>
      <c r="N145" s="345">
        <v>0</v>
      </c>
      <c r="O145" s="345">
        <v>0</v>
      </c>
    </row>
    <row r="146" spans="3:15" x14ac:dyDescent="0.2">
      <c r="C146" s="27" t="s">
        <v>66</v>
      </c>
      <c r="D146" s="50" t="s">
        <v>45</v>
      </c>
      <c r="E146" s="36">
        <f>SUM(E141:E145)</f>
        <v>-2580</v>
      </c>
      <c r="F146" s="36">
        <f t="shared" ref="F146:O146" si="34">SUM(F141:F145)</f>
        <v>-1942</v>
      </c>
      <c r="G146" s="36">
        <f t="shared" si="34"/>
        <v>-1045</v>
      </c>
      <c r="H146" s="270"/>
      <c r="I146" s="36"/>
      <c r="J146" s="264"/>
      <c r="K146" s="36">
        <f t="shared" si="34"/>
        <v>-275.7802197826357</v>
      </c>
      <c r="L146" s="36">
        <f t="shared" si="34"/>
        <v>-280.74986038963596</v>
      </c>
      <c r="M146" s="36">
        <f t="shared" si="34"/>
        <v>-285.91504068848758</v>
      </c>
      <c r="N146" s="36">
        <f t="shared" si="34"/>
        <v>-291.26273953968251</v>
      </c>
      <c r="O146" s="36">
        <f t="shared" si="34"/>
        <v>-296.78265717677164</v>
      </c>
    </row>
    <row r="147" spans="3:15" x14ac:dyDescent="0.2">
      <c r="H147" s="138"/>
      <c r="J147" s="243"/>
    </row>
    <row r="148" spans="3:15" x14ac:dyDescent="0.2">
      <c r="C148" s="26" t="s">
        <v>70</v>
      </c>
      <c r="D148" s="53" t="s">
        <v>45</v>
      </c>
      <c r="E148" s="42">
        <f>E146+E138+E132</f>
        <v>-1273</v>
      </c>
      <c r="F148" s="42">
        <f>F146+F138+F132</f>
        <v>-296</v>
      </c>
      <c r="G148" s="42">
        <f>G146+G138+G132</f>
        <v>-103</v>
      </c>
      <c r="H148" s="138"/>
      <c r="J148" s="243"/>
      <c r="K148" s="42">
        <f>K146+K138+K132</f>
        <v>847.01810759096384</v>
      </c>
      <c r="L148" s="42">
        <f>L146+L138+L132</f>
        <v>1075.6337005053106</v>
      </c>
      <c r="M148" s="42">
        <f>M146+M138+M132</f>
        <v>1269.6980976719647</v>
      </c>
      <c r="N148" s="42">
        <f>N146+N138+N132</f>
        <v>1562.112253401865</v>
      </c>
      <c r="O148" s="42">
        <f>O146+O138+O132</f>
        <v>1860.7162315366568</v>
      </c>
    </row>
    <row r="149" spans="3:15" x14ac:dyDescent="0.2">
      <c r="C149" s="17" t="s">
        <v>65</v>
      </c>
      <c r="D149" s="53" t="s">
        <v>45</v>
      </c>
      <c r="E149" s="33">
        <v>169</v>
      </c>
      <c r="F149" s="33">
        <v>59</v>
      </c>
      <c r="G149" s="33">
        <v>22</v>
      </c>
      <c r="H149" s="138"/>
      <c r="J149" s="243"/>
    </row>
    <row r="150" spans="3:15" x14ac:dyDescent="0.2">
      <c r="C150" s="27" t="s">
        <v>996</v>
      </c>
      <c r="D150" s="50" t="s">
        <v>45</v>
      </c>
      <c r="E150" s="36">
        <f>SUM(E148:E149)</f>
        <v>-1104</v>
      </c>
      <c r="F150" s="36">
        <f>SUM(F148:F149)</f>
        <v>-237</v>
      </c>
      <c r="G150" s="36">
        <f>SUM(G148:G149)</f>
        <v>-81</v>
      </c>
      <c r="H150" s="247"/>
      <c r="I150" s="25"/>
      <c r="J150" s="250"/>
      <c r="K150" s="36">
        <f>SUM(K148:K149)</f>
        <v>847.01810759096384</v>
      </c>
      <c r="L150" s="36">
        <f>SUM(L148:L149)</f>
        <v>1075.6337005053106</v>
      </c>
      <c r="M150" s="36">
        <f>SUM(M148:M149)</f>
        <v>1269.6980976719647</v>
      </c>
      <c r="N150" s="36">
        <f>SUM(N148:N149)</f>
        <v>1562.112253401865</v>
      </c>
      <c r="O150" s="36">
        <f>SUM(O148:O149)</f>
        <v>1860.7162315366568</v>
      </c>
    </row>
    <row r="151" spans="3:15" x14ac:dyDescent="0.2">
      <c r="H151" s="138"/>
      <c r="J151" s="243"/>
    </row>
    <row r="152" spans="3:15" x14ac:dyDescent="0.2">
      <c r="C152" s="28" t="s">
        <v>967</v>
      </c>
      <c r="D152" s="49" t="s">
        <v>881</v>
      </c>
      <c r="E152" s="454">
        <f>'3_Statment_model'!E212</f>
        <v>1934</v>
      </c>
      <c r="F152" s="454">
        <f>E157</f>
        <v>830</v>
      </c>
      <c r="G152" s="454">
        <f>F157</f>
        <v>593</v>
      </c>
      <c r="H152" s="455"/>
      <c r="I152" s="456"/>
      <c r="J152" s="457"/>
      <c r="K152" s="454">
        <f>J93</f>
        <v>300</v>
      </c>
      <c r="L152" s="454">
        <f>K157</f>
        <v>300</v>
      </c>
      <c r="M152" s="454">
        <f t="shared" ref="M152:O152" si="35">L157</f>
        <v>300</v>
      </c>
      <c r="N152" s="454">
        <f t="shared" si="35"/>
        <v>324.4249764420598</v>
      </c>
      <c r="O152" s="454">
        <f t="shared" si="35"/>
        <v>438.74680746098119</v>
      </c>
    </row>
    <row r="153" spans="3:15" x14ac:dyDescent="0.2">
      <c r="C153" s="19" t="s">
        <v>968</v>
      </c>
      <c r="D153" s="53" t="s">
        <v>881</v>
      </c>
      <c r="E153" s="237">
        <f>E150</f>
        <v>-1104</v>
      </c>
      <c r="F153" s="237">
        <f>F150</f>
        <v>-237</v>
      </c>
      <c r="G153" s="237">
        <f>G150</f>
        <v>-81</v>
      </c>
      <c r="H153" s="434"/>
      <c r="I153" s="172"/>
      <c r="J153" s="435"/>
      <c r="K153" s="237">
        <f>K150</f>
        <v>847.01810759096384</v>
      </c>
      <c r="L153" s="237">
        <f t="shared" ref="L153:O153" si="36">L150</f>
        <v>1075.6337005053106</v>
      </c>
      <c r="M153" s="237">
        <f t="shared" si="36"/>
        <v>1269.6980976719647</v>
      </c>
      <c r="N153" s="237">
        <f t="shared" si="36"/>
        <v>1562.112253401865</v>
      </c>
      <c r="O153" s="237">
        <f t="shared" si="36"/>
        <v>1860.7162315366568</v>
      </c>
    </row>
    <row r="154" spans="3:15" x14ac:dyDescent="0.2">
      <c r="C154" s="19" t="s">
        <v>969</v>
      </c>
      <c r="D154" s="53" t="s">
        <v>881</v>
      </c>
      <c r="E154" s="172">
        <v>0</v>
      </c>
      <c r="F154" s="172">
        <v>0</v>
      </c>
      <c r="G154" s="172">
        <v>0</v>
      </c>
      <c r="H154" s="438"/>
      <c r="I154" s="172"/>
      <c r="J154" s="435"/>
      <c r="K154" s="172">
        <f>K190</f>
        <v>-1031.55</v>
      </c>
      <c r="L154" s="172">
        <f t="shared" ref="L154:O154" si="37">L190</f>
        <v>-1031.55</v>
      </c>
      <c r="M154" s="172">
        <f t="shared" si="37"/>
        <v>-1031.55</v>
      </c>
      <c r="N154" s="172">
        <f t="shared" si="37"/>
        <v>-1031.55</v>
      </c>
      <c r="O154" s="172">
        <f t="shared" si="37"/>
        <v>-1031.55</v>
      </c>
    </row>
    <row r="155" spans="3:15" x14ac:dyDescent="0.2">
      <c r="C155" s="19" t="s">
        <v>993</v>
      </c>
      <c r="D155" s="53" t="s">
        <v>881</v>
      </c>
      <c r="E155" s="172">
        <v>0</v>
      </c>
      <c r="F155" s="172">
        <v>0</v>
      </c>
      <c r="G155" s="172">
        <v>0</v>
      </c>
      <c r="H155" s="439"/>
      <c r="I155" s="436"/>
      <c r="J155" s="437"/>
      <c r="K155" s="172">
        <f>K193+K195+K197+K199</f>
        <v>184.53189240903612</v>
      </c>
      <c r="L155" s="172">
        <f t="shared" ref="L155:O155" si="38">L193+L195+L197+L199</f>
        <v>-44.083700505310617</v>
      </c>
      <c r="M155" s="172">
        <f t="shared" si="38"/>
        <v>-213.7231212299049</v>
      </c>
      <c r="N155" s="172">
        <f t="shared" si="38"/>
        <v>-416.24042238294356</v>
      </c>
      <c r="O155" s="172">
        <f t="shared" si="38"/>
        <v>-725.93477924822832</v>
      </c>
    </row>
    <row r="156" spans="3:15" x14ac:dyDescent="0.2">
      <c r="C156" s="440" t="s">
        <v>977</v>
      </c>
      <c r="D156" s="441" t="s">
        <v>881</v>
      </c>
      <c r="E156" s="172">
        <v>0</v>
      </c>
      <c r="F156" s="172">
        <v>0</v>
      </c>
      <c r="G156" s="172">
        <v>0</v>
      </c>
      <c r="H156" s="439"/>
      <c r="I156" s="436"/>
      <c r="J156" s="437"/>
      <c r="K156" s="172">
        <f>K200</f>
        <v>0</v>
      </c>
      <c r="L156" s="172">
        <f t="shared" ref="L156:O156" si="39">L200</f>
        <v>0</v>
      </c>
      <c r="M156" s="172">
        <f t="shared" si="39"/>
        <v>0</v>
      </c>
      <c r="N156" s="172">
        <f t="shared" si="39"/>
        <v>0</v>
      </c>
      <c r="O156" s="172">
        <f t="shared" si="39"/>
        <v>0</v>
      </c>
    </row>
    <row r="157" spans="3:15" ht="17" thickBot="1" x14ac:dyDescent="0.25">
      <c r="C157" s="442" t="s">
        <v>994</v>
      </c>
      <c r="D157" s="443" t="s">
        <v>881</v>
      </c>
      <c r="E157" s="255">
        <f>SUM(E152:E153)</f>
        <v>830</v>
      </c>
      <c r="F157" s="255">
        <f t="shared" ref="F157:G157" si="40">SUM(F152:F153)</f>
        <v>593</v>
      </c>
      <c r="G157" s="255">
        <f t="shared" si="40"/>
        <v>512</v>
      </c>
      <c r="H157" s="444"/>
      <c r="I157" s="445"/>
      <c r="J157" s="446"/>
      <c r="K157" s="130">
        <f>SUM(K152:K156)</f>
        <v>300</v>
      </c>
      <c r="L157" s="130">
        <f t="shared" ref="L157:O157" si="41">SUM(L152:L156)</f>
        <v>300</v>
      </c>
      <c r="M157" s="130">
        <f t="shared" si="41"/>
        <v>324.4249764420598</v>
      </c>
      <c r="N157" s="130">
        <f t="shared" si="41"/>
        <v>438.74680746098119</v>
      </c>
      <c r="O157" s="130">
        <f t="shared" si="41"/>
        <v>541.97825974940952</v>
      </c>
    </row>
    <row r="158" spans="3:15" ht="17" thickTop="1" x14ac:dyDescent="0.2">
      <c r="C158" s="432"/>
      <c r="D158" s="433"/>
      <c r="E158" s="424"/>
      <c r="F158" s="424"/>
      <c r="G158" s="424"/>
      <c r="H158" s="138"/>
      <c r="I158" s="423"/>
      <c r="J158" s="243"/>
      <c r="K158" s="424"/>
      <c r="L158" s="424"/>
      <c r="M158" s="424"/>
      <c r="N158" s="424"/>
      <c r="O158" s="424"/>
    </row>
    <row r="159" spans="3:15" x14ac:dyDescent="0.2">
      <c r="C159" s="44" t="s">
        <v>77</v>
      </c>
      <c r="D159" s="53" t="s">
        <v>45</v>
      </c>
      <c r="E159" s="42" cm="1">
        <f t="array" ref="E159">SUM(E162,-(E160:E161))</f>
        <v>1029</v>
      </c>
      <c r="F159" s="42" cm="1">
        <f t="array" ref="F159">SUM(F162,-(F160:F161))</f>
        <v>623</v>
      </c>
      <c r="G159" s="42" cm="1">
        <f t="array" ref="G159">SUM(G162,-(G160:G161))</f>
        <v>575</v>
      </c>
      <c r="H159" s="138"/>
      <c r="J159" s="243"/>
      <c r="K159" s="37" cm="1">
        <f t="array" ref="K159">SUM(K162,-(K160:K161))</f>
        <v>300</v>
      </c>
      <c r="L159" s="37" cm="1">
        <f t="array" ref="L159">SUM(L162,-(L160:L161))</f>
        <v>300</v>
      </c>
      <c r="M159" s="37" cm="1">
        <f t="array" ref="M159">SUM(M162,-(M160:M161))</f>
        <v>324.4249764420598</v>
      </c>
      <c r="N159" s="37" cm="1">
        <f t="array" ref="N159">SUM(N162,-(N160:N161))</f>
        <v>438.74680746098119</v>
      </c>
      <c r="O159" s="37" cm="1">
        <f t="array" ref="O159">SUM(O162,-(O160:O161))</f>
        <v>541.97825974940952</v>
      </c>
    </row>
    <row r="160" spans="3:15" x14ac:dyDescent="0.2">
      <c r="C160" s="44" t="s">
        <v>76</v>
      </c>
      <c r="D160" s="53" t="s">
        <v>45</v>
      </c>
      <c r="E160" s="33">
        <v>-199</v>
      </c>
      <c r="F160" s="33">
        <v>-70</v>
      </c>
      <c r="G160" s="33">
        <v>-63</v>
      </c>
      <c r="H160" s="138"/>
      <c r="J160" s="243"/>
      <c r="K160" s="33">
        <v>0</v>
      </c>
      <c r="L160" s="33">
        <v>0</v>
      </c>
      <c r="M160" s="33">
        <v>0</v>
      </c>
      <c r="N160" s="33">
        <v>0</v>
      </c>
      <c r="O160" s="33">
        <v>0</v>
      </c>
    </row>
    <row r="161" spans="2:15" x14ac:dyDescent="0.2">
      <c r="C161" t="s">
        <v>75</v>
      </c>
      <c r="D161" s="53" t="s">
        <v>45</v>
      </c>
      <c r="E161" s="33">
        <v>0</v>
      </c>
      <c r="F161" s="33">
        <v>40</v>
      </c>
      <c r="G161" s="33">
        <v>0</v>
      </c>
      <c r="H161" s="348"/>
      <c r="I161" s="347"/>
      <c r="J161" s="349"/>
      <c r="K161" s="33">
        <v>0</v>
      </c>
      <c r="L161" s="33">
        <v>0</v>
      </c>
      <c r="M161" s="33">
        <v>0</v>
      </c>
      <c r="N161" s="33">
        <v>0</v>
      </c>
      <c r="O161" s="33">
        <v>0</v>
      </c>
    </row>
    <row r="162" spans="2:15" ht="17" thickBot="1" x14ac:dyDescent="0.25">
      <c r="C162" s="128" t="s">
        <v>68</v>
      </c>
      <c r="D162" s="129" t="s">
        <v>45</v>
      </c>
      <c r="E162" s="130">
        <f>E157</f>
        <v>830</v>
      </c>
      <c r="F162" s="130">
        <f t="shared" ref="F162:G162" si="42">F157</f>
        <v>593</v>
      </c>
      <c r="G162" s="130">
        <f t="shared" si="42"/>
        <v>512</v>
      </c>
      <c r="H162" s="260"/>
      <c r="I162" s="261"/>
      <c r="J162" s="262"/>
      <c r="K162" s="130">
        <f>K157</f>
        <v>300</v>
      </c>
      <c r="L162" s="130">
        <f t="shared" ref="L162:O162" si="43">L157</f>
        <v>300</v>
      </c>
      <c r="M162" s="130">
        <f t="shared" si="43"/>
        <v>324.4249764420598</v>
      </c>
      <c r="N162" s="130">
        <f t="shared" si="43"/>
        <v>438.74680746098119</v>
      </c>
      <c r="O162" s="130">
        <f t="shared" si="43"/>
        <v>541.97825974940952</v>
      </c>
    </row>
    <row r="163" spans="2:15" ht="17" thickTop="1" x14ac:dyDescent="0.2">
      <c r="C163" s="432"/>
      <c r="D163" s="433"/>
      <c r="E163" s="424"/>
      <c r="F163" s="424"/>
      <c r="G163" s="424"/>
      <c r="H163" s="423"/>
      <c r="I163" s="423"/>
      <c r="J163" s="423"/>
      <c r="K163" s="424"/>
      <c r="L163" s="424"/>
      <c r="M163" s="424"/>
      <c r="N163" s="424"/>
      <c r="O163" s="424"/>
    </row>
    <row r="165" spans="2:15" x14ac:dyDescent="0.2">
      <c r="B165" s="2"/>
      <c r="C165" s="2"/>
      <c r="D165" s="3"/>
      <c r="E165" s="10"/>
      <c r="F165" s="10" t="s">
        <v>4</v>
      </c>
      <c r="G165" s="11"/>
      <c r="H165" s="375" t="s">
        <v>946</v>
      </c>
      <c r="I165" s="238"/>
      <c r="J165" s="378"/>
      <c r="K165" s="13"/>
      <c r="L165" s="14"/>
      <c r="M165" s="14" t="s">
        <v>5</v>
      </c>
      <c r="N165" s="14"/>
      <c r="O165" s="14"/>
    </row>
    <row r="166" spans="2:15" x14ac:dyDescent="0.2">
      <c r="B166" s="2" t="s">
        <v>766</v>
      </c>
      <c r="C166" s="2"/>
      <c r="D166" s="47" t="s">
        <v>3</v>
      </c>
      <c r="E166" s="45">
        <f>EOMONTH(F166,-12)</f>
        <v>45199</v>
      </c>
      <c r="F166" s="45">
        <f>EOMONTH(G166,-12)</f>
        <v>45565</v>
      </c>
      <c r="G166" s="45">
        <f>E4</f>
        <v>45930</v>
      </c>
      <c r="H166" s="376" t="s">
        <v>947</v>
      </c>
      <c r="I166" s="45" t="s">
        <v>948</v>
      </c>
      <c r="J166" s="377">
        <f>G166</f>
        <v>45930</v>
      </c>
      <c r="K166" s="45">
        <f>EOMONTH(G166,12)</f>
        <v>46295</v>
      </c>
      <c r="L166" s="45">
        <f t="shared" ref="L166" si="44">EOMONTH(K166,12)</f>
        <v>46660</v>
      </c>
      <c r="M166" s="45">
        <f t="shared" ref="M166" si="45">EOMONTH(L166,12)</f>
        <v>47026</v>
      </c>
      <c r="N166" s="45">
        <f t="shared" ref="N166" si="46">EOMONTH(M166,12)</f>
        <v>47391</v>
      </c>
      <c r="O166" s="45">
        <f t="shared" ref="O166" si="47">EOMONTH(N166,12)</f>
        <v>47756</v>
      </c>
    </row>
    <row r="167" spans="2:15" x14ac:dyDescent="0.2">
      <c r="B167" s="388"/>
      <c r="C167" s="389"/>
      <c r="D167" s="390"/>
      <c r="E167" s="391"/>
      <c r="F167" s="391"/>
      <c r="G167" s="391"/>
      <c r="H167" s="392"/>
      <c r="I167" s="393"/>
      <c r="J167" s="394"/>
      <c r="K167" s="391"/>
      <c r="L167" s="391"/>
      <c r="M167" s="391"/>
      <c r="N167" s="391"/>
      <c r="O167" s="391"/>
    </row>
    <row r="168" spans="2:15" x14ac:dyDescent="0.2">
      <c r="B168" s="388"/>
      <c r="C168" s="354" t="s">
        <v>997</v>
      </c>
      <c r="D168" s="178" t="s">
        <v>692</v>
      </c>
      <c r="E168" s="391"/>
      <c r="F168" s="391"/>
      <c r="G168" s="391"/>
      <c r="H168" s="395"/>
      <c r="I168" s="391"/>
      <c r="J168" s="396"/>
      <c r="K168" s="207">
        <v>3.7499999999999999E-2</v>
      </c>
      <c r="L168" s="207">
        <v>3.7499999999999999E-2</v>
      </c>
      <c r="M168" s="207">
        <v>3.7499999999999999E-2</v>
      </c>
      <c r="N168" s="207">
        <v>3.7499999999999999E-2</v>
      </c>
      <c r="O168" s="207">
        <v>3.7499999999999999E-2</v>
      </c>
    </row>
    <row r="169" spans="2:15" x14ac:dyDescent="0.2">
      <c r="B169" s="388"/>
      <c r="C169" s="389"/>
      <c r="D169" s="390"/>
      <c r="E169" s="391"/>
      <c r="F169" s="391"/>
      <c r="G169" s="391"/>
      <c r="H169" s="395"/>
      <c r="I169" s="391"/>
      <c r="J169" s="396"/>
      <c r="K169" s="391"/>
      <c r="L169" s="391"/>
      <c r="M169" s="391"/>
      <c r="N169" s="391"/>
      <c r="O169" s="391"/>
    </row>
    <row r="170" spans="2:15" x14ac:dyDescent="0.2">
      <c r="B170" s="388"/>
      <c r="C170" s="309"/>
      <c r="D170" s="309" t="s">
        <v>957</v>
      </c>
      <c r="E170" s="309" t="s">
        <v>957</v>
      </c>
      <c r="F170" s="309" t="s">
        <v>958</v>
      </c>
      <c r="G170" s="309" t="s">
        <v>959</v>
      </c>
      <c r="H170" s="477"/>
      <c r="I170" s="309"/>
      <c r="J170" s="478"/>
      <c r="K170" s="309"/>
      <c r="L170" s="309"/>
      <c r="M170" s="309"/>
      <c r="N170" s="309"/>
      <c r="O170" s="309"/>
    </row>
    <row r="171" spans="2:15" x14ac:dyDescent="0.2">
      <c r="B171" s="388"/>
      <c r="C171" s="292" t="s">
        <v>760</v>
      </c>
      <c r="D171" s="308" t="s">
        <v>960</v>
      </c>
      <c r="E171" s="308" t="s">
        <v>961</v>
      </c>
      <c r="F171" s="308" t="s">
        <v>962</v>
      </c>
      <c r="G171" s="308" t="s">
        <v>963</v>
      </c>
      <c r="H171" s="479"/>
      <c r="I171" s="308"/>
      <c r="J171" s="480"/>
      <c r="K171" s="308"/>
      <c r="L171" s="308"/>
      <c r="M171" s="308"/>
      <c r="N171" s="308"/>
      <c r="O171" s="308"/>
    </row>
    <row r="172" spans="2:15" x14ac:dyDescent="0.2">
      <c r="B172" s="388"/>
      <c r="C172" s="351" t="str">
        <f>C36</f>
        <v>Revolver:</v>
      </c>
      <c r="D172" s="207">
        <v>0.01</v>
      </c>
      <c r="E172" s="207">
        <v>1.4999999999999999E-2</v>
      </c>
      <c r="F172" s="429"/>
      <c r="G172" s="397"/>
      <c r="H172" s="395"/>
      <c r="I172" s="391"/>
      <c r="J172" s="396"/>
      <c r="K172" s="398">
        <f>MAX($D172,K168)+$E172</f>
        <v>5.2499999999999998E-2</v>
      </c>
      <c r="L172" s="398">
        <f t="shared" ref="L172:O172" si="48">MAX($D172,L168)+$E172</f>
        <v>5.2499999999999998E-2</v>
      </c>
      <c r="M172" s="398">
        <f t="shared" si="48"/>
        <v>5.2499999999999998E-2</v>
      </c>
      <c r="N172" s="398">
        <f t="shared" si="48"/>
        <v>5.2499999999999998E-2</v>
      </c>
      <c r="O172" s="398">
        <f t="shared" si="48"/>
        <v>5.2499999999999998E-2</v>
      </c>
    </row>
    <row r="173" spans="2:15" x14ac:dyDescent="0.2">
      <c r="B173" s="388"/>
      <c r="C173" s="351" t="str">
        <f>C37</f>
        <v>Term Loan A:</v>
      </c>
      <c r="D173" s="207">
        <v>1.4999999999999999E-2</v>
      </c>
      <c r="E173" s="207">
        <v>2.5000000000000001E-2</v>
      </c>
      <c r="F173" s="429"/>
      <c r="G173" s="397"/>
      <c r="H173" s="395"/>
      <c r="I173" s="391"/>
      <c r="J173" s="396"/>
      <c r="K173" s="398">
        <f>MAX($D173,K$168)+$E173</f>
        <v>6.25E-2</v>
      </c>
      <c r="L173" s="398">
        <f t="shared" ref="L173:O174" si="49">MAX($D173,L$168)+$E173</f>
        <v>6.25E-2</v>
      </c>
      <c r="M173" s="398">
        <f t="shared" si="49"/>
        <v>6.25E-2</v>
      </c>
      <c r="N173" s="398">
        <f t="shared" si="49"/>
        <v>6.25E-2</v>
      </c>
      <c r="O173" s="398">
        <f t="shared" si="49"/>
        <v>6.25E-2</v>
      </c>
    </row>
    <row r="174" spans="2:15" x14ac:dyDescent="0.2">
      <c r="B174" s="388"/>
      <c r="C174" s="351" t="str">
        <f>C38</f>
        <v>Term Loan B:</v>
      </c>
      <c r="D174" s="207">
        <v>0.02</v>
      </c>
      <c r="E174" s="207">
        <v>3.5000000000000003E-2</v>
      </c>
      <c r="F174" s="429"/>
      <c r="G174" s="397"/>
      <c r="H174" s="395"/>
      <c r="I174" s="391"/>
      <c r="J174" s="396"/>
      <c r="K174" s="398">
        <f>MAX($D174,K$168)+$E174</f>
        <v>7.2500000000000009E-2</v>
      </c>
      <c r="L174" s="398">
        <f t="shared" si="49"/>
        <v>7.2500000000000009E-2</v>
      </c>
      <c r="M174" s="398">
        <f t="shared" si="49"/>
        <v>7.2500000000000009E-2</v>
      </c>
      <c r="N174" s="398">
        <f t="shared" si="49"/>
        <v>7.2500000000000009E-2</v>
      </c>
      <c r="O174" s="398">
        <f t="shared" si="49"/>
        <v>7.2500000000000009E-2</v>
      </c>
    </row>
    <row r="175" spans="2:15" x14ac:dyDescent="0.2">
      <c r="B175" s="388"/>
      <c r="C175" s="351" t="str">
        <f>C39</f>
        <v>Subordinated Notes:</v>
      </c>
      <c r="D175" s="429"/>
      <c r="E175" s="429"/>
      <c r="F175" s="207">
        <v>0.05</v>
      </c>
      <c r="G175" s="207">
        <v>0.05</v>
      </c>
      <c r="H175" s="395"/>
      <c r="I175" s="391"/>
      <c r="J175" s="396"/>
      <c r="K175" s="398">
        <f>$F175+$G$175</f>
        <v>0.1</v>
      </c>
      <c r="L175" s="398">
        <f t="shared" ref="L175:O175" si="50">$F175+$G$175</f>
        <v>0.1</v>
      </c>
      <c r="M175" s="398">
        <f t="shared" si="50"/>
        <v>0.1</v>
      </c>
      <c r="N175" s="398">
        <f t="shared" si="50"/>
        <v>0.1</v>
      </c>
      <c r="O175" s="398">
        <f t="shared" si="50"/>
        <v>0.1</v>
      </c>
    </row>
    <row r="176" spans="2:15" x14ac:dyDescent="0.2">
      <c r="B176" s="388"/>
      <c r="C176" s="351" t="s">
        <v>25</v>
      </c>
      <c r="D176" s="429"/>
      <c r="E176" s="429"/>
      <c r="F176" s="207">
        <f>'3_Statment_model'!E70</f>
        <v>3.5000000000000003E-2</v>
      </c>
      <c r="G176" s="397"/>
      <c r="H176" s="395"/>
      <c r="I176" s="391"/>
      <c r="J176" s="396"/>
      <c r="K176" s="398">
        <f>$F176</f>
        <v>3.5000000000000003E-2</v>
      </c>
      <c r="L176" s="398">
        <f t="shared" ref="L176:O176" si="51">$F176</f>
        <v>3.5000000000000003E-2</v>
      </c>
      <c r="M176" s="398">
        <f t="shared" si="51"/>
        <v>3.5000000000000003E-2</v>
      </c>
      <c r="N176" s="398">
        <f t="shared" si="51"/>
        <v>3.5000000000000003E-2</v>
      </c>
      <c r="O176" s="398">
        <f t="shared" si="51"/>
        <v>3.5000000000000003E-2</v>
      </c>
    </row>
    <row r="177" spans="2:15" x14ac:dyDescent="0.2">
      <c r="B177" s="388"/>
      <c r="C177" s="354"/>
      <c r="D177" s="391"/>
      <c r="E177" s="391"/>
      <c r="F177" s="422">
        <f>E173</f>
        <v>2.5000000000000001E-2</v>
      </c>
      <c r="G177" s="391"/>
      <c r="H177" s="395"/>
      <c r="I177" s="391"/>
      <c r="J177" s="396"/>
      <c r="K177" s="391"/>
      <c r="L177" s="391"/>
      <c r="M177" s="391"/>
      <c r="N177" s="391"/>
      <c r="O177" s="391"/>
    </row>
    <row r="178" spans="2:15" x14ac:dyDescent="0.2">
      <c r="B178" s="388"/>
      <c r="C178" s="354" t="s">
        <v>998</v>
      </c>
      <c r="D178" s="390"/>
      <c r="E178" s="391"/>
      <c r="F178" s="422"/>
      <c r="G178" s="391"/>
      <c r="H178" s="395"/>
      <c r="I178" s="391"/>
      <c r="J178" s="450"/>
      <c r="K178" s="468">
        <v>110</v>
      </c>
      <c r="L178" s="468">
        <v>108</v>
      </c>
      <c r="M178" s="468">
        <v>106</v>
      </c>
      <c r="N178" s="468">
        <v>104</v>
      </c>
      <c r="O178" s="468">
        <v>102</v>
      </c>
    </row>
    <row r="179" spans="2:15" x14ac:dyDescent="0.2">
      <c r="B179" s="388"/>
      <c r="C179" s="354"/>
      <c r="D179" s="390"/>
      <c r="E179" s="391"/>
      <c r="F179" s="422"/>
      <c r="G179" s="391"/>
      <c r="H179" s="395"/>
      <c r="I179" s="391"/>
      <c r="J179" s="396"/>
      <c r="K179" s="391"/>
      <c r="L179" s="391"/>
      <c r="M179" s="391"/>
      <c r="N179" s="391"/>
      <c r="O179" s="391"/>
    </row>
    <row r="180" spans="2:15" x14ac:dyDescent="0.2">
      <c r="B180" s="388"/>
      <c r="C180" s="292" t="s">
        <v>964</v>
      </c>
      <c r="D180" s="292"/>
      <c r="E180" s="292"/>
      <c r="F180" s="292"/>
      <c r="G180" s="292"/>
      <c r="H180" s="475"/>
      <c r="I180" s="292"/>
      <c r="J180" s="476"/>
      <c r="K180" s="292"/>
      <c r="L180" s="292"/>
      <c r="M180" s="292"/>
      <c r="N180" s="292"/>
      <c r="O180" s="292"/>
    </row>
    <row r="181" spans="2:15" x14ac:dyDescent="0.2">
      <c r="B181" s="388"/>
      <c r="C181" s="351" t="str">
        <f>C36</f>
        <v>Revolver:</v>
      </c>
      <c r="D181" s="53"/>
      <c r="E181" s="391"/>
      <c r="F181" s="391"/>
      <c r="G181" s="391"/>
      <c r="H181" s="395"/>
      <c r="I181" s="391"/>
      <c r="J181" s="396"/>
      <c r="K181" s="172">
        <f>K172*K203</f>
        <v>0</v>
      </c>
      <c r="L181" s="172">
        <f>L172*L203</f>
        <v>9.6879243514743951</v>
      </c>
      <c r="M181" s="172">
        <f>M172*M203</f>
        <v>7.3735300749455881</v>
      </c>
      <c r="N181" s="172">
        <f>N172*N203</f>
        <v>0</v>
      </c>
      <c r="O181" s="172">
        <f>O172*O203</f>
        <v>0</v>
      </c>
    </row>
    <row r="182" spans="2:15" x14ac:dyDescent="0.2">
      <c r="B182" s="388"/>
      <c r="C182" s="351" t="str">
        <f>C37</f>
        <v>Term Loan A:</v>
      </c>
      <c r="D182" s="53"/>
      <c r="E182" s="391"/>
      <c r="F182" s="391"/>
      <c r="G182" s="391"/>
      <c r="H182" s="395"/>
      <c r="I182" s="391"/>
      <c r="J182" s="396"/>
      <c r="K182" s="172">
        <f>K173*K209</f>
        <v>560.625</v>
      </c>
      <c r="L182" s="172">
        <f>L173*L209</f>
        <v>504.5625</v>
      </c>
      <c r="M182" s="172">
        <f>M173*M209</f>
        <v>448.5</v>
      </c>
      <c r="N182" s="172">
        <f>N173*N209</f>
        <v>389.38437794474254</v>
      </c>
      <c r="O182" s="172">
        <f>O173*O209</f>
        <v>315.97852701211991</v>
      </c>
    </row>
    <row r="183" spans="2:15" x14ac:dyDescent="0.2">
      <c r="B183" s="388"/>
      <c r="C183" s="351" t="str">
        <f>C38</f>
        <v>Term Loan B:</v>
      </c>
      <c r="D183" s="53"/>
      <c r="E183" s="391"/>
      <c r="F183" s="391"/>
      <c r="G183" s="391"/>
      <c r="H183" s="395"/>
      <c r="I183" s="391"/>
      <c r="J183" s="396"/>
      <c r="K183" s="172">
        <f>K174*K215</f>
        <v>975.48750000000007</v>
      </c>
      <c r="L183" s="172">
        <f>L174*L215</f>
        <v>965.73262500000021</v>
      </c>
      <c r="M183" s="172">
        <f>M174*M215</f>
        <v>955.97775000000024</v>
      </c>
      <c r="N183" s="172">
        <f>N174*N215</f>
        <v>944.45206420795091</v>
      </c>
      <c r="O183" s="172">
        <f>O174*O215</f>
        <v>924.63804566702993</v>
      </c>
    </row>
    <row r="184" spans="2:15" x14ac:dyDescent="0.2">
      <c r="B184" s="388"/>
      <c r="C184" s="351" t="str">
        <f>C39</f>
        <v>Subordinated Notes:</v>
      </c>
      <c r="D184" s="399"/>
      <c r="E184" s="391"/>
      <c r="F184" s="391"/>
      <c r="G184" s="391"/>
      <c r="H184" s="395"/>
      <c r="I184" s="391"/>
      <c r="J184" s="396"/>
      <c r="K184" s="355">
        <f>K175*K221</f>
        <v>672.75</v>
      </c>
      <c r="L184" s="355">
        <f>L175*L221</f>
        <v>706.38750000000005</v>
      </c>
      <c r="M184" s="355">
        <f>M175*M221</f>
        <v>741.70687500000008</v>
      </c>
      <c r="N184" s="355">
        <f>N175*N221</f>
        <v>778.79221875000007</v>
      </c>
      <c r="O184" s="355">
        <f>O175*O221</f>
        <v>817.73182968750007</v>
      </c>
    </row>
    <row r="185" spans="2:15" x14ac:dyDescent="0.2">
      <c r="B185" s="388"/>
      <c r="C185" s="400" t="s">
        <v>965</v>
      </c>
      <c r="D185" s="53"/>
      <c r="E185" s="393"/>
      <c r="F185" s="393"/>
      <c r="G185" s="393"/>
      <c r="H185" s="392"/>
      <c r="I185" s="393"/>
      <c r="J185" s="394"/>
      <c r="K185" s="353">
        <f>SUM(K181:K184)</f>
        <v>2208.8625000000002</v>
      </c>
      <c r="L185" s="353">
        <f t="shared" ref="L185:O185" si="52">SUM(L181:L184)</f>
        <v>2186.3705493514744</v>
      </c>
      <c r="M185" s="353">
        <f t="shared" si="52"/>
        <v>2153.5581550749457</v>
      </c>
      <c r="N185" s="353">
        <f t="shared" si="52"/>
        <v>2112.6286609026938</v>
      </c>
      <c r="O185" s="353">
        <f t="shared" si="52"/>
        <v>2058.3484023666497</v>
      </c>
    </row>
    <row r="186" spans="2:15" x14ac:dyDescent="0.2">
      <c r="B186" s="388"/>
      <c r="C186" s="389"/>
      <c r="D186" s="390"/>
      <c r="E186" s="391"/>
      <c r="F186" s="391"/>
      <c r="G186" s="391"/>
      <c r="H186" s="395"/>
      <c r="I186" s="391"/>
      <c r="J186" s="396"/>
      <c r="K186" s="391"/>
      <c r="L186" s="391"/>
      <c r="M186" s="391"/>
      <c r="N186" s="391"/>
      <c r="O186" s="391"/>
    </row>
    <row r="187" spans="2:15" x14ac:dyDescent="0.2">
      <c r="B187" s="5"/>
      <c r="C187" s="292" t="s">
        <v>966</v>
      </c>
      <c r="D187" s="292"/>
      <c r="E187" s="292"/>
      <c r="F187" s="292"/>
      <c r="G187" s="292"/>
      <c r="H187" s="475"/>
      <c r="I187" s="292"/>
      <c r="J187" s="476"/>
      <c r="K187" s="292"/>
      <c r="L187" s="292"/>
      <c r="M187" s="292"/>
      <c r="N187" s="292"/>
      <c r="O187" s="292"/>
    </row>
    <row r="188" spans="2:15" x14ac:dyDescent="0.2">
      <c r="B188" s="5"/>
      <c r="C188" s="19" t="s">
        <v>967</v>
      </c>
      <c r="D188" s="53"/>
      <c r="E188" s="5"/>
      <c r="F188" s="5"/>
      <c r="G188" s="5"/>
      <c r="H188" s="401"/>
      <c r="I188" s="5"/>
      <c r="J188" s="402"/>
      <c r="K188" s="172">
        <f>K152</f>
        <v>300</v>
      </c>
      <c r="L188" s="172">
        <f t="shared" ref="L188:O188" si="53">L152</f>
        <v>300</v>
      </c>
      <c r="M188" s="172">
        <f t="shared" si="53"/>
        <v>300</v>
      </c>
      <c r="N188" s="172">
        <f t="shared" si="53"/>
        <v>324.4249764420598</v>
      </c>
      <c r="O188" s="172">
        <f t="shared" si="53"/>
        <v>438.74680746098119</v>
      </c>
    </row>
    <row r="189" spans="2:15" x14ac:dyDescent="0.2">
      <c r="B189" s="5"/>
      <c r="C189" s="24" t="s">
        <v>968</v>
      </c>
      <c r="D189" s="53"/>
      <c r="E189" s="5"/>
      <c r="F189" s="5"/>
      <c r="G189" s="5"/>
      <c r="H189" s="401"/>
      <c r="I189" s="5"/>
      <c r="J189" s="402"/>
      <c r="K189" s="172">
        <f>K150</f>
        <v>847.01810759096384</v>
      </c>
      <c r="L189" s="172">
        <f t="shared" ref="L189:O189" si="54">L150</f>
        <v>1075.6337005053106</v>
      </c>
      <c r="M189" s="172">
        <f t="shared" si="54"/>
        <v>1269.6980976719647</v>
      </c>
      <c r="N189" s="172">
        <f t="shared" si="54"/>
        <v>1562.112253401865</v>
      </c>
      <c r="O189" s="172">
        <f t="shared" si="54"/>
        <v>1860.7162315366568</v>
      </c>
    </row>
    <row r="190" spans="2:15" x14ac:dyDescent="0.2">
      <c r="B190" s="5"/>
      <c r="C190" s="24" t="s">
        <v>969</v>
      </c>
      <c r="D190" s="53"/>
      <c r="E190" s="5"/>
      <c r="F190" s="5"/>
      <c r="G190" s="5"/>
      <c r="H190" s="401"/>
      <c r="I190" s="5"/>
      <c r="J190" s="402"/>
      <c r="K190" s="172">
        <f>K210+K216</f>
        <v>-1031.55</v>
      </c>
      <c r="L190" s="172">
        <f t="shared" ref="L190:O190" si="55">L210+L216</f>
        <v>-1031.55</v>
      </c>
      <c r="M190" s="172">
        <f t="shared" si="55"/>
        <v>-1031.55</v>
      </c>
      <c r="N190" s="172">
        <f t="shared" si="55"/>
        <v>-1031.55</v>
      </c>
      <c r="O190" s="172">
        <f t="shared" si="55"/>
        <v>-1031.55</v>
      </c>
    </row>
    <row r="191" spans="2:15" x14ac:dyDescent="0.2">
      <c r="B191" s="5"/>
      <c r="C191" s="24" t="s">
        <v>970</v>
      </c>
      <c r="D191" s="399"/>
      <c r="E191" s="5"/>
      <c r="F191" s="5"/>
      <c r="G191" s="5"/>
      <c r="H191" s="403"/>
      <c r="I191" s="213"/>
      <c r="J191" s="404"/>
      <c r="K191" s="355">
        <f>-$N$22</f>
        <v>-300</v>
      </c>
      <c r="L191" s="355">
        <f t="shared" ref="L191:O191" si="56">-$N$22</f>
        <v>-300</v>
      </c>
      <c r="M191" s="355">
        <f t="shared" si="56"/>
        <v>-300</v>
      </c>
      <c r="N191" s="355">
        <f t="shared" si="56"/>
        <v>-300</v>
      </c>
      <c r="O191" s="355">
        <f t="shared" si="56"/>
        <v>-300</v>
      </c>
    </row>
    <row r="192" spans="2:15" x14ac:dyDescent="0.2">
      <c r="B192" s="5"/>
      <c r="C192" s="405" t="s">
        <v>966</v>
      </c>
      <c r="D192" s="53"/>
      <c r="E192" s="224"/>
      <c r="F192" s="224"/>
      <c r="G192" s="224"/>
      <c r="H192" s="401"/>
      <c r="I192" s="5"/>
      <c r="J192" s="402"/>
      <c r="K192" s="353">
        <f>SUM(K188:K191)</f>
        <v>-184.53189240903612</v>
      </c>
      <c r="L192" s="353">
        <f t="shared" ref="L192:O192" si="57">SUM(L188:L191)</f>
        <v>44.083700505310617</v>
      </c>
      <c r="M192" s="353">
        <f t="shared" si="57"/>
        <v>238.14809767196471</v>
      </c>
      <c r="N192" s="353">
        <f t="shared" si="57"/>
        <v>554.98722984392475</v>
      </c>
      <c r="O192" s="353">
        <f t="shared" si="57"/>
        <v>967.91303899763784</v>
      </c>
    </row>
    <row r="193" spans="2:15" x14ac:dyDescent="0.2">
      <c r="B193" s="5"/>
      <c r="C193" s="24" t="s">
        <v>971</v>
      </c>
      <c r="D193" s="399"/>
      <c r="E193" s="5"/>
      <c r="F193" s="5"/>
      <c r="G193" s="5"/>
      <c r="H193" s="401"/>
      <c r="I193" s="5"/>
      <c r="J193" s="402"/>
      <c r="K193" s="221">
        <f>SUM(K204:K205)</f>
        <v>184.53189240903612</v>
      </c>
      <c r="L193" s="221">
        <f t="shared" ref="L193:O193" si="58">SUM(L204:L205)</f>
        <v>-44.083700505310617</v>
      </c>
      <c r="M193" s="221">
        <f t="shared" si="58"/>
        <v>-140.4481919037255</v>
      </c>
      <c r="N193" s="221">
        <f t="shared" si="58"/>
        <v>0</v>
      </c>
      <c r="O193" s="221">
        <f t="shared" si="58"/>
        <v>0</v>
      </c>
    </row>
    <row r="194" spans="2:15" x14ac:dyDescent="0.2">
      <c r="B194" s="5"/>
      <c r="C194" s="405" t="s">
        <v>972</v>
      </c>
      <c r="D194" s="53"/>
      <c r="E194" s="224"/>
      <c r="F194" s="224"/>
      <c r="G194" s="224"/>
      <c r="H194" s="406"/>
      <c r="I194" s="224"/>
      <c r="J194" s="407"/>
      <c r="K194" s="408">
        <f>SUM(K192:K193)</f>
        <v>0</v>
      </c>
      <c r="L194" s="408">
        <f t="shared" ref="L194:O194" si="59">SUM(L192:L193)</f>
        <v>0</v>
      </c>
      <c r="M194" s="408">
        <f t="shared" si="59"/>
        <v>97.699905768239205</v>
      </c>
      <c r="N194" s="408">
        <f t="shared" si="59"/>
        <v>554.98722984392475</v>
      </c>
      <c r="O194" s="408">
        <f t="shared" si="59"/>
        <v>967.91303899763784</v>
      </c>
    </row>
    <row r="195" spans="2:15" x14ac:dyDescent="0.2">
      <c r="B195" s="5"/>
      <c r="C195" s="409" t="s">
        <v>973</v>
      </c>
      <c r="D195" s="399"/>
      <c r="E195" s="213"/>
      <c r="F195" s="213"/>
      <c r="G195" s="213"/>
      <c r="H195" s="403"/>
      <c r="I195" s="213"/>
      <c r="J195" s="404"/>
      <c r="K195" s="355">
        <f>K211</f>
        <v>0</v>
      </c>
      <c r="L195" s="355">
        <f t="shared" ref="L195:O195" si="60">L211</f>
        <v>0</v>
      </c>
      <c r="M195" s="355">
        <f t="shared" si="60"/>
        <v>-48.849952884119602</v>
      </c>
      <c r="N195" s="355">
        <f t="shared" si="60"/>
        <v>-277.49361492196238</v>
      </c>
      <c r="O195" s="355">
        <f t="shared" si="60"/>
        <v>-483.95651949881892</v>
      </c>
    </row>
    <row r="196" spans="2:15" x14ac:dyDescent="0.2">
      <c r="B196" s="5"/>
      <c r="C196" s="410" t="s">
        <v>974</v>
      </c>
      <c r="D196" s="53"/>
      <c r="E196" s="5"/>
      <c r="F196" s="5"/>
      <c r="G196" s="5"/>
      <c r="H196" s="401"/>
      <c r="I196" s="5"/>
      <c r="J196" s="402"/>
      <c r="K196" s="408">
        <f>SUM(K194:K195)</f>
        <v>0</v>
      </c>
      <c r="L196" s="408">
        <f t="shared" ref="L196:O196" si="61">SUM(L194:L195)</f>
        <v>0</v>
      </c>
      <c r="M196" s="408">
        <f t="shared" si="61"/>
        <v>48.849952884119602</v>
      </c>
      <c r="N196" s="408">
        <f t="shared" si="61"/>
        <v>277.49361492196238</v>
      </c>
      <c r="O196" s="408">
        <f t="shared" si="61"/>
        <v>483.95651949881892</v>
      </c>
    </row>
    <row r="197" spans="2:15" x14ac:dyDescent="0.2">
      <c r="B197" s="5"/>
      <c r="C197" s="409" t="s">
        <v>975</v>
      </c>
      <c r="D197" s="399"/>
      <c r="E197" s="213"/>
      <c r="F197" s="213"/>
      <c r="G197" s="213"/>
      <c r="H197" s="403"/>
      <c r="I197" s="213"/>
      <c r="J197" s="404"/>
      <c r="K197" s="355">
        <f>K217</f>
        <v>0</v>
      </c>
      <c r="L197" s="355">
        <f t="shared" ref="L197:O197" si="62">L217</f>
        <v>0</v>
      </c>
      <c r="M197" s="355">
        <f t="shared" si="62"/>
        <v>-24.424976442059801</v>
      </c>
      <c r="N197" s="355">
        <f t="shared" si="62"/>
        <v>-138.74680746098119</v>
      </c>
      <c r="O197" s="355">
        <f t="shared" si="62"/>
        <v>-241.97825974940946</v>
      </c>
    </row>
    <row r="198" spans="2:15" x14ac:dyDescent="0.2">
      <c r="B198" s="5"/>
      <c r="C198" s="410" t="s">
        <v>976</v>
      </c>
      <c r="D198" s="53"/>
      <c r="E198" s="5"/>
      <c r="F198" s="5"/>
      <c r="G198" s="5"/>
      <c r="H198" s="401"/>
      <c r="I198" s="5"/>
      <c r="J198" s="402"/>
      <c r="K198" s="408">
        <f>SUM(K196:K197)</f>
        <v>0</v>
      </c>
      <c r="L198" s="408">
        <f t="shared" ref="L198:O198" si="63">SUM(L196:L197)</f>
        <v>0</v>
      </c>
      <c r="M198" s="408">
        <f t="shared" si="63"/>
        <v>24.424976442059801</v>
      </c>
      <c r="N198" s="408">
        <f t="shared" si="63"/>
        <v>138.74680746098119</v>
      </c>
      <c r="O198" s="408">
        <f t="shared" si="63"/>
        <v>241.97825974940946</v>
      </c>
    </row>
    <row r="199" spans="2:15" x14ac:dyDescent="0.2">
      <c r="B199" s="5"/>
      <c r="C199" s="451" t="s">
        <v>999</v>
      </c>
      <c r="D199" s="53"/>
      <c r="E199" s="5"/>
      <c r="F199" s="5"/>
      <c r="G199" s="5"/>
      <c r="H199" s="401"/>
      <c r="I199" s="5"/>
      <c r="J199" s="402"/>
      <c r="K199" s="452">
        <f>K223</f>
        <v>0</v>
      </c>
      <c r="L199" s="452">
        <f t="shared" ref="L199:O199" si="64">L223</f>
        <v>0</v>
      </c>
      <c r="M199" s="452">
        <f t="shared" si="64"/>
        <v>0</v>
      </c>
      <c r="N199" s="452">
        <f t="shared" si="64"/>
        <v>0</v>
      </c>
      <c r="O199" s="452">
        <f t="shared" si="64"/>
        <v>0</v>
      </c>
    </row>
    <row r="200" spans="2:15" x14ac:dyDescent="0.2">
      <c r="B200" s="5"/>
      <c r="C200" s="409" t="s">
        <v>977</v>
      </c>
      <c r="D200" s="399"/>
      <c r="E200" s="213"/>
      <c r="F200" s="213"/>
      <c r="G200" s="213"/>
      <c r="H200" s="403"/>
      <c r="I200" s="213"/>
      <c r="J200" s="404"/>
      <c r="K200" s="355">
        <f>K199*(K178-100)/100</f>
        <v>0</v>
      </c>
      <c r="L200" s="355">
        <f t="shared" ref="L200:O200" si="65">L199*(L178-100)/100</f>
        <v>0</v>
      </c>
      <c r="M200" s="355">
        <f t="shared" si="65"/>
        <v>0</v>
      </c>
      <c r="N200" s="355">
        <f t="shared" si="65"/>
        <v>0</v>
      </c>
      <c r="O200" s="355">
        <f t="shared" si="65"/>
        <v>0</v>
      </c>
    </row>
    <row r="201" spans="2:15" x14ac:dyDescent="0.2">
      <c r="B201" s="5"/>
      <c r="C201" s="410" t="s">
        <v>978</v>
      </c>
      <c r="D201" s="53"/>
      <c r="E201" s="5"/>
      <c r="F201" s="5"/>
      <c r="G201" s="5"/>
      <c r="H201" s="401"/>
      <c r="I201" s="5"/>
      <c r="J201" s="402"/>
      <c r="K201" s="408">
        <f>SUM(K198:K200)</f>
        <v>0</v>
      </c>
      <c r="L201" s="408">
        <f t="shared" ref="L201:O201" si="66">SUM(L198:L200)</f>
        <v>0</v>
      </c>
      <c r="M201" s="408">
        <f t="shared" si="66"/>
        <v>24.424976442059801</v>
      </c>
      <c r="N201" s="408">
        <f t="shared" si="66"/>
        <v>138.74680746098119</v>
      </c>
      <c r="O201" s="408">
        <f t="shared" si="66"/>
        <v>241.97825974940946</v>
      </c>
    </row>
    <row r="202" spans="2:15" x14ac:dyDescent="0.2">
      <c r="B202" s="5"/>
      <c r="C202" s="19"/>
      <c r="D202" s="5"/>
      <c r="E202" s="5"/>
      <c r="F202" s="5"/>
      <c r="G202" s="5"/>
      <c r="H202" s="401"/>
      <c r="I202" s="5"/>
      <c r="J202" s="402"/>
      <c r="K202" s="5"/>
      <c r="L202" s="5"/>
      <c r="M202" s="5"/>
      <c r="N202" s="5"/>
      <c r="O202" s="5"/>
    </row>
    <row r="203" spans="2:15" x14ac:dyDescent="0.2">
      <c r="B203" s="5"/>
      <c r="C203" s="19" t="s">
        <v>985</v>
      </c>
      <c r="D203" s="53"/>
      <c r="E203" s="5"/>
      <c r="F203" s="5"/>
      <c r="G203" s="5"/>
      <c r="H203" s="401"/>
      <c r="I203" s="5"/>
      <c r="J203" s="402"/>
      <c r="K203" s="172">
        <f>J206</f>
        <v>0</v>
      </c>
      <c r="L203" s="172">
        <f t="shared" ref="L203:O203" si="67">K206</f>
        <v>184.53189240903612</v>
      </c>
      <c r="M203" s="172">
        <f t="shared" si="67"/>
        <v>140.4481919037255</v>
      </c>
      <c r="N203" s="172">
        <f t="shared" si="67"/>
        <v>0</v>
      </c>
      <c r="O203" s="172">
        <f t="shared" si="67"/>
        <v>0</v>
      </c>
    </row>
    <row r="204" spans="2:15" x14ac:dyDescent="0.2">
      <c r="B204" s="5"/>
      <c r="C204" s="24" t="s">
        <v>979</v>
      </c>
      <c r="D204" s="53"/>
      <c r="E204" s="5"/>
      <c r="F204" s="5"/>
      <c r="G204" s="5"/>
      <c r="H204" s="401"/>
      <c r="I204" s="5"/>
      <c r="J204" s="402"/>
      <c r="K204" s="172">
        <f>-MIN(K192,0)</f>
        <v>184.53189240903612</v>
      </c>
      <c r="L204" s="172">
        <f>-MIN(L192,0)</f>
        <v>0</v>
      </c>
      <c r="M204" s="172">
        <f>-MIN(M192,0)</f>
        <v>0</v>
      </c>
      <c r="N204" s="172">
        <f>-MIN(N192,0)</f>
        <v>0</v>
      </c>
      <c r="O204" s="172">
        <f>-MIN(O192,0)</f>
        <v>0</v>
      </c>
    </row>
    <row r="205" spans="2:15" x14ac:dyDescent="0.2">
      <c r="B205" s="5"/>
      <c r="C205" s="409" t="s">
        <v>980</v>
      </c>
      <c r="D205" s="411"/>
      <c r="E205" s="469">
        <v>1</v>
      </c>
      <c r="F205" s="213"/>
      <c r="G205" s="213"/>
      <c r="H205" s="403"/>
      <c r="I205" s="213"/>
      <c r="J205" s="404"/>
      <c r="K205" s="355">
        <f>IF(K192&gt;0,-MIN(K192*$E$205,K203),0)</f>
        <v>0</v>
      </c>
      <c r="L205" s="355">
        <f>IF(L192&gt;0,-MIN(L192*$E$205,L203),0)</f>
        <v>-44.083700505310617</v>
      </c>
      <c r="M205" s="355">
        <f>IF(M192&gt;0,-MIN(M192*$E$205,M203),0)</f>
        <v>-140.4481919037255</v>
      </c>
      <c r="N205" s="355">
        <f>IF(N192&gt;0,-MIN(N192*$E$205,N203),0)</f>
        <v>0</v>
      </c>
      <c r="O205" s="355">
        <f>IF(O192&gt;0,-MIN(O192*$E$205,O203),0)</f>
        <v>0</v>
      </c>
    </row>
    <row r="206" spans="2:15" x14ac:dyDescent="0.2">
      <c r="B206" s="5"/>
      <c r="C206" s="410" t="s">
        <v>989</v>
      </c>
      <c r="D206" s="53"/>
      <c r="E206" s="5"/>
      <c r="F206" s="5"/>
      <c r="G206" s="5"/>
      <c r="H206" s="412"/>
      <c r="I206" s="413"/>
      <c r="J206" s="427">
        <f>D36</f>
        <v>0</v>
      </c>
      <c r="K206" s="353">
        <f>SUM(K203:K205)</f>
        <v>184.53189240903612</v>
      </c>
      <c r="L206" s="353">
        <f t="shared" ref="L206:O206" si="68">SUM(L203:L205)</f>
        <v>140.4481919037255</v>
      </c>
      <c r="M206" s="353">
        <f t="shared" si="68"/>
        <v>0</v>
      </c>
      <c r="N206" s="353">
        <f t="shared" si="68"/>
        <v>0</v>
      </c>
      <c r="O206" s="353">
        <f t="shared" si="68"/>
        <v>0</v>
      </c>
    </row>
    <row r="207" spans="2:15" x14ac:dyDescent="0.2">
      <c r="B207" s="5"/>
      <c r="C207" s="19"/>
      <c r="D207" s="5"/>
      <c r="E207" s="5"/>
      <c r="F207" s="5"/>
      <c r="G207" s="5"/>
      <c r="H207" s="401"/>
      <c r="I207" s="5"/>
      <c r="J207" s="402"/>
      <c r="K207" s="5"/>
      <c r="L207" s="5"/>
      <c r="M207" s="5"/>
      <c r="N207" s="5"/>
      <c r="O207" s="5"/>
    </row>
    <row r="208" spans="2:15" x14ac:dyDescent="0.2">
      <c r="B208" s="5"/>
      <c r="C208" s="292" t="s">
        <v>981</v>
      </c>
      <c r="D208" s="292"/>
      <c r="E208" s="292"/>
      <c r="F208" s="292"/>
      <c r="G208" s="292"/>
      <c r="H208" s="475"/>
      <c r="I208" s="292"/>
      <c r="J208" s="476"/>
      <c r="K208" s="292"/>
      <c r="L208" s="292"/>
      <c r="M208" s="292"/>
      <c r="N208" s="292"/>
      <c r="O208" s="292"/>
    </row>
    <row r="209" spans="2:15" x14ac:dyDescent="0.2">
      <c r="B209" s="5"/>
      <c r="C209" s="19" t="s">
        <v>986</v>
      </c>
      <c r="D209" s="53"/>
      <c r="E209" s="5"/>
      <c r="F209" s="5"/>
      <c r="G209" s="5"/>
      <c r="H209" s="401"/>
      <c r="I209" s="5"/>
      <c r="J209" s="402"/>
      <c r="K209" s="172">
        <f>J212</f>
        <v>8970</v>
      </c>
      <c r="L209" s="172">
        <f t="shared" ref="L209:O209" si="69">K212</f>
        <v>8073</v>
      </c>
      <c r="M209" s="172">
        <f t="shared" si="69"/>
        <v>7176</v>
      </c>
      <c r="N209" s="172">
        <f t="shared" si="69"/>
        <v>6230.1500471158806</v>
      </c>
      <c r="O209" s="172">
        <f t="shared" si="69"/>
        <v>5055.6564321939186</v>
      </c>
    </row>
    <row r="210" spans="2:15" x14ac:dyDescent="0.2">
      <c r="B210" s="5"/>
      <c r="C210" s="24" t="s">
        <v>982</v>
      </c>
      <c r="D210" s="414"/>
      <c r="E210" s="207">
        <v>0.1</v>
      </c>
      <c r="F210" s="5"/>
      <c r="G210" s="5"/>
      <c r="H210" s="401"/>
      <c r="I210" s="5"/>
      <c r="J210" s="402"/>
      <c r="K210" s="172">
        <f>-MIN(K209,$E210*$J212)</f>
        <v>-897</v>
      </c>
      <c r="L210" s="172">
        <f t="shared" ref="L210:O210" si="70">-MIN(L209,$E210*$J212)</f>
        <v>-897</v>
      </c>
      <c r="M210" s="172">
        <f t="shared" si="70"/>
        <v>-897</v>
      </c>
      <c r="N210" s="172">
        <f t="shared" si="70"/>
        <v>-897</v>
      </c>
      <c r="O210" s="172">
        <f t="shared" si="70"/>
        <v>-897</v>
      </c>
    </row>
    <row r="211" spans="2:15" x14ac:dyDescent="0.2">
      <c r="B211" s="5"/>
      <c r="C211" s="24" t="s">
        <v>983</v>
      </c>
      <c r="D211" s="411"/>
      <c r="E211" s="469">
        <v>0.5</v>
      </c>
      <c r="F211" s="213"/>
      <c r="G211" s="213"/>
      <c r="H211" s="403"/>
      <c r="I211" s="213"/>
      <c r="J211" s="404"/>
      <c r="K211" s="355">
        <f>IF(K194&gt;0,-MIN(K194*$E211,SUM(K209:K210)),0)</f>
        <v>0</v>
      </c>
      <c r="L211" s="355">
        <f>IF(L194&gt;0,-MIN(L194*$E211,SUM(L209:L210)),0)</f>
        <v>0</v>
      </c>
      <c r="M211" s="355">
        <f>IF(M194&gt;0,-MIN(M194*$E211,SUM(M209:M210)),0)</f>
        <v>-48.849952884119602</v>
      </c>
      <c r="N211" s="355">
        <f>IF(N194&gt;0,-MIN(N194*$E211,SUM(N209:N210)),0)</f>
        <v>-277.49361492196238</v>
      </c>
      <c r="O211" s="355">
        <f>IF(O194&gt;0,-MIN(O194*$E211,SUM(O209:O210)),0)</f>
        <v>-483.95651949881892</v>
      </c>
    </row>
    <row r="212" spans="2:15" x14ac:dyDescent="0.2">
      <c r="B212" s="5"/>
      <c r="C212" s="405" t="s">
        <v>990</v>
      </c>
      <c r="D212" s="53"/>
      <c r="E212" s="5"/>
      <c r="F212" s="5"/>
      <c r="G212" s="5"/>
      <c r="H212" s="415"/>
      <c r="I212" s="416"/>
      <c r="J212" s="431">
        <f>D37</f>
        <v>8970</v>
      </c>
      <c r="K212" s="353">
        <f>SUM(K209:K211)</f>
        <v>8073</v>
      </c>
      <c r="L212" s="353">
        <f t="shared" ref="L212:O212" si="71">SUM(L209:L211)</f>
        <v>7176</v>
      </c>
      <c r="M212" s="353">
        <f t="shared" si="71"/>
        <v>6230.1500471158806</v>
      </c>
      <c r="N212" s="353">
        <f t="shared" si="71"/>
        <v>5055.6564321939186</v>
      </c>
      <c r="O212" s="353">
        <f t="shared" si="71"/>
        <v>3674.6999126950996</v>
      </c>
    </row>
    <row r="213" spans="2:15" x14ac:dyDescent="0.2">
      <c r="B213" s="5"/>
      <c r="C213" s="19"/>
      <c r="D213" s="5"/>
      <c r="E213" s="5"/>
      <c r="F213" s="5"/>
      <c r="G213" s="5"/>
      <c r="H213" s="401"/>
      <c r="I213" s="5"/>
      <c r="J213" s="402"/>
      <c r="K213" s="417"/>
      <c r="L213" s="417"/>
      <c r="M213" s="417"/>
      <c r="N213" s="417"/>
      <c r="O213" s="417"/>
    </row>
    <row r="214" spans="2:15" x14ac:dyDescent="0.2">
      <c r="B214" s="5"/>
      <c r="C214" s="292" t="s">
        <v>984</v>
      </c>
      <c r="D214" s="292"/>
      <c r="E214" s="292"/>
      <c r="F214" s="292"/>
      <c r="G214" s="292"/>
      <c r="H214" s="475"/>
      <c r="I214" s="292"/>
      <c r="J214" s="476"/>
      <c r="K214" s="292"/>
      <c r="L214" s="292"/>
      <c r="M214" s="292"/>
      <c r="N214" s="292"/>
      <c r="O214" s="292"/>
    </row>
    <row r="215" spans="2:15" x14ac:dyDescent="0.2">
      <c r="B215" s="5"/>
      <c r="C215" s="19" t="s">
        <v>987</v>
      </c>
      <c r="D215" s="53"/>
      <c r="E215" s="5"/>
      <c r="F215" s="5"/>
      <c r="G215" s="5"/>
      <c r="H215" s="401"/>
      <c r="I215" s="5"/>
      <c r="J215" s="402"/>
      <c r="K215" s="172">
        <f>J218</f>
        <v>13455</v>
      </c>
      <c r="L215" s="172">
        <f t="shared" ref="L215:O215" si="72">K218</f>
        <v>13320.45</v>
      </c>
      <c r="M215" s="172">
        <f t="shared" si="72"/>
        <v>13185.900000000001</v>
      </c>
      <c r="N215" s="172">
        <f t="shared" si="72"/>
        <v>13026.925023557942</v>
      </c>
      <c r="O215" s="172">
        <f t="shared" si="72"/>
        <v>12753.628216096962</v>
      </c>
    </row>
    <row r="216" spans="2:15" x14ac:dyDescent="0.2">
      <c r="B216" s="5"/>
      <c r="C216" s="24" t="s">
        <v>982</v>
      </c>
      <c r="D216" s="414"/>
      <c r="E216" s="207">
        <v>0.01</v>
      </c>
      <c r="F216" s="5"/>
      <c r="G216" s="5"/>
      <c r="H216" s="401"/>
      <c r="I216" s="5"/>
      <c r="J216" s="402"/>
      <c r="K216" s="172">
        <f>-MIN(K215,$E216*$J218)</f>
        <v>-134.55000000000001</v>
      </c>
      <c r="L216" s="172">
        <f t="shared" ref="L216:O216" si="73">-MIN(L215,$E216*$J218)</f>
        <v>-134.55000000000001</v>
      </c>
      <c r="M216" s="172">
        <f t="shared" si="73"/>
        <v>-134.55000000000001</v>
      </c>
      <c r="N216" s="172">
        <f t="shared" si="73"/>
        <v>-134.55000000000001</v>
      </c>
      <c r="O216" s="172">
        <f t="shared" si="73"/>
        <v>-134.55000000000001</v>
      </c>
    </row>
    <row r="217" spans="2:15" x14ac:dyDescent="0.2">
      <c r="B217" s="5"/>
      <c r="C217" s="409" t="s">
        <v>983</v>
      </c>
      <c r="D217" s="411"/>
      <c r="E217" s="469">
        <v>0.5</v>
      </c>
      <c r="F217" s="213"/>
      <c r="G217" s="213"/>
      <c r="H217" s="403"/>
      <c r="I217" s="213"/>
      <c r="J217" s="404"/>
      <c r="K217" s="355">
        <f>IF(K196&gt;0,-MIN(K196*$E217,SUM(K215:K216)),0)</f>
        <v>0</v>
      </c>
      <c r="L217" s="355">
        <f>IF(L196&gt;0,-MIN(L196*$E217,SUM(L215:L216)),0)</f>
        <v>0</v>
      </c>
      <c r="M217" s="355">
        <f>IF(M196&gt;0,-MIN(M196*$E217,SUM(M215:M216)),0)</f>
        <v>-24.424976442059801</v>
      </c>
      <c r="N217" s="355">
        <f>IF(N196&gt;0,-MIN(N196*$E217,SUM(N215:N216)),0)</f>
        <v>-138.74680746098119</v>
      </c>
      <c r="O217" s="355">
        <f>IF(O196&gt;0,-MIN(O196*$E217,SUM(O215:O216)),0)</f>
        <v>-241.97825974940946</v>
      </c>
    </row>
    <row r="218" spans="2:15" x14ac:dyDescent="0.2">
      <c r="B218" s="5"/>
      <c r="C218" s="410" t="s">
        <v>991</v>
      </c>
      <c r="D218" s="53"/>
      <c r="E218" s="5"/>
      <c r="F218" s="426"/>
      <c r="G218" s="5"/>
      <c r="H218" s="415"/>
      <c r="I218" s="416"/>
      <c r="J218" s="431">
        <f>D38</f>
        <v>13455</v>
      </c>
      <c r="K218" s="353">
        <f>SUM(K215:K217)</f>
        <v>13320.45</v>
      </c>
      <c r="L218" s="353">
        <f t="shared" ref="L218:O218" si="74">SUM(L215:L217)</f>
        <v>13185.900000000001</v>
      </c>
      <c r="M218" s="353">
        <f t="shared" si="74"/>
        <v>13026.925023557942</v>
      </c>
      <c r="N218" s="353">
        <f t="shared" si="74"/>
        <v>12753.628216096962</v>
      </c>
      <c r="O218" s="353">
        <f t="shared" si="74"/>
        <v>12377.099956347554</v>
      </c>
    </row>
    <row r="219" spans="2:15" x14ac:dyDescent="0.2">
      <c r="B219" s="5"/>
      <c r="C219" s="19"/>
      <c r="D219" s="5"/>
      <c r="E219" s="5"/>
      <c r="F219" s="426"/>
      <c r="G219" s="5"/>
      <c r="H219" s="401"/>
      <c r="I219" s="5"/>
      <c r="J219" s="402"/>
      <c r="K219" s="172"/>
      <c r="L219" s="172"/>
      <c r="M219" s="172"/>
      <c r="N219" s="172"/>
      <c r="O219" s="172"/>
    </row>
    <row r="220" spans="2:15" x14ac:dyDescent="0.2">
      <c r="B220" s="5"/>
      <c r="C220" s="292" t="s">
        <v>935</v>
      </c>
      <c r="D220" s="292"/>
      <c r="E220" s="292"/>
      <c r="F220" s="292"/>
      <c r="G220" s="292"/>
      <c r="H220" s="475"/>
      <c r="I220" s="292"/>
      <c r="J220" s="476"/>
      <c r="K220" s="292"/>
      <c r="L220" s="292"/>
      <c r="M220" s="292"/>
      <c r="N220" s="292"/>
      <c r="O220" s="292"/>
    </row>
    <row r="221" spans="2:15" x14ac:dyDescent="0.2">
      <c r="B221" s="5"/>
      <c r="C221" s="19" t="s">
        <v>988</v>
      </c>
      <c r="D221" s="53"/>
      <c r="E221" s="5"/>
      <c r="F221" s="5"/>
      <c r="G221" s="5"/>
      <c r="H221" s="401"/>
      <c r="I221" s="5"/>
      <c r="J221" s="402"/>
      <c r="K221" s="172">
        <f>J224</f>
        <v>6727.5</v>
      </c>
      <c r="L221" s="172">
        <f t="shared" ref="L221:O221" si="75">K224</f>
        <v>7063.875</v>
      </c>
      <c r="M221" s="172">
        <f t="shared" si="75"/>
        <v>7417.0687500000004</v>
      </c>
      <c r="N221" s="172">
        <f t="shared" si="75"/>
        <v>7787.9221875000003</v>
      </c>
      <c r="O221" s="172">
        <f t="shared" si="75"/>
        <v>8177.3182968750007</v>
      </c>
    </row>
    <row r="222" spans="2:15" x14ac:dyDescent="0.2">
      <c r="B222" s="5"/>
      <c r="C222" s="24" t="s">
        <v>950</v>
      </c>
      <c r="D222" s="414"/>
      <c r="E222" s="428">
        <f>G175</f>
        <v>0.05</v>
      </c>
      <c r="F222" s="5"/>
      <c r="G222" s="5"/>
      <c r="H222" s="401"/>
      <c r="I222" s="5"/>
      <c r="J222" s="402"/>
      <c r="K222" s="172">
        <f>K221*$E$222</f>
        <v>336.375</v>
      </c>
      <c r="L222" s="172">
        <f t="shared" ref="L222:O222" si="76">L221*$E$222</f>
        <v>353.19375000000002</v>
      </c>
      <c r="M222" s="172">
        <f t="shared" si="76"/>
        <v>370.85343750000004</v>
      </c>
      <c r="N222" s="172">
        <f t="shared" si="76"/>
        <v>389.39610937500004</v>
      </c>
      <c r="O222" s="172">
        <f t="shared" si="76"/>
        <v>408.86591484375003</v>
      </c>
    </row>
    <row r="223" spans="2:15" x14ac:dyDescent="0.2">
      <c r="B223" s="5"/>
      <c r="C223" s="24" t="s">
        <v>983</v>
      </c>
      <c r="D223" s="414"/>
      <c r="E223" s="428"/>
      <c r="F223" s="5"/>
      <c r="G223" s="5"/>
      <c r="H223" s="401"/>
      <c r="I223" s="5"/>
      <c r="J223" s="449"/>
      <c r="K223" s="172">
        <f>IF(K198&gt;SUM(K221:K222)*K178/100,-SUM(K221:K222),0)</f>
        <v>0</v>
      </c>
      <c r="L223" s="172">
        <f t="shared" ref="L223:O223" si="77">IF(L198&gt;SUM(L221:L222)*L178/100,-SUM(L221:L222),0)</f>
        <v>0</v>
      </c>
      <c r="M223" s="172">
        <f t="shared" si="77"/>
        <v>0</v>
      </c>
      <c r="N223" s="172">
        <f t="shared" si="77"/>
        <v>0</v>
      </c>
      <c r="O223" s="172">
        <f t="shared" si="77"/>
        <v>0</v>
      </c>
    </row>
    <row r="224" spans="2:15" x14ac:dyDescent="0.2">
      <c r="B224" s="5"/>
      <c r="C224" s="405" t="s">
        <v>992</v>
      </c>
      <c r="D224" s="418"/>
      <c r="E224" s="224"/>
      <c r="F224" s="224"/>
      <c r="G224" s="224"/>
      <c r="H224" s="419"/>
      <c r="I224" s="420"/>
      <c r="J224" s="431">
        <f>D39</f>
        <v>6727.5</v>
      </c>
      <c r="K224" s="408">
        <f>SUM(K221:K222)</f>
        <v>7063.875</v>
      </c>
      <c r="L224" s="408">
        <f>SUM(L221:L222)</f>
        <v>7417.0687500000004</v>
      </c>
      <c r="M224" s="408">
        <f>SUM(M221:M222)</f>
        <v>7787.9221875000003</v>
      </c>
      <c r="N224" s="408">
        <f>SUM(N221:N222)</f>
        <v>8177.3182968750007</v>
      </c>
      <c r="O224" s="408">
        <f>SUM(O221:O222)</f>
        <v>8586.1842117187516</v>
      </c>
    </row>
    <row r="226" spans="2:15" x14ac:dyDescent="0.2">
      <c r="B226" s="2"/>
      <c r="C226" s="2"/>
      <c r="D226" s="2"/>
      <c r="E226" s="10"/>
      <c r="F226" s="10" t="s">
        <v>4</v>
      </c>
      <c r="G226" s="11"/>
      <c r="H226" s="375" t="s">
        <v>946</v>
      </c>
      <c r="I226" s="238"/>
      <c r="J226" s="378"/>
      <c r="K226" s="13"/>
      <c r="L226" s="14"/>
      <c r="M226" s="14" t="s">
        <v>5</v>
      </c>
      <c r="N226" s="14"/>
      <c r="O226" s="14"/>
    </row>
    <row r="227" spans="2:15" x14ac:dyDescent="0.2">
      <c r="B227" s="2" t="s">
        <v>1001</v>
      </c>
      <c r="C227" s="2"/>
      <c r="D227" s="2" t="str">
        <f>$D$3</f>
        <v>Name</v>
      </c>
      <c r="E227" s="45">
        <f>EOMONTH(F227,-12)</f>
        <v>45199</v>
      </c>
      <c r="F227" s="45">
        <f>EOMONTH(G227,-12)</f>
        <v>45565</v>
      </c>
      <c r="G227" s="45">
        <f>E4</f>
        <v>45930</v>
      </c>
      <c r="H227" s="376" t="s">
        <v>947</v>
      </c>
      <c r="I227" s="45" t="s">
        <v>948</v>
      </c>
      <c r="J227" s="377">
        <f>G227</f>
        <v>45930</v>
      </c>
      <c r="K227" s="45">
        <f>EOMONTH(G227,12)</f>
        <v>46295</v>
      </c>
      <c r="L227" s="45">
        <f t="shared" ref="L227" si="78">EOMONTH(K227,12)</f>
        <v>46660</v>
      </c>
      <c r="M227" s="45">
        <f t="shared" ref="M227" si="79">EOMONTH(L227,12)</f>
        <v>47026</v>
      </c>
      <c r="N227" s="45">
        <f t="shared" ref="N227" si="80">EOMONTH(M227,12)</f>
        <v>47391</v>
      </c>
      <c r="O227" s="45">
        <f t="shared" ref="O227" si="81">EOMONTH(N227,12)</f>
        <v>47756</v>
      </c>
    </row>
    <row r="228" spans="2:15" x14ac:dyDescent="0.2">
      <c r="C228" s="19" t="s">
        <v>774</v>
      </c>
      <c r="D228" s="53" t="s">
        <v>881</v>
      </c>
      <c r="E228" s="245">
        <f>E67-E64</f>
        <v>3265</v>
      </c>
      <c r="F228" s="245">
        <f>F67-F64</f>
        <v>3634</v>
      </c>
      <c r="G228" s="245">
        <f>G67-G64</f>
        <v>4154</v>
      </c>
      <c r="H228" s="251"/>
      <c r="I228" s="245"/>
      <c r="J228" s="267"/>
      <c r="K228" s="172">
        <f>K67-K64</f>
        <v>4523.7154666666665</v>
      </c>
      <c r="L228" s="172">
        <f>L67-L64</f>
        <v>4896.733199866665</v>
      </c>
      <c r="M228" s="172">
        <f>M67-M64</f>
        <v>5279.9150567902707</v>
      </c>
      <c r="N228" s="172">
        <f>N67-N64</f>
        <v>5794.2887618066634</v>
      </c>
      <c r="O228" s="172">
        <f>O67-O64</f>
        <v>6199.9658200859003</v>
      </c>
    </row>
    <row r="229" spans="2:15" x14ac:dyDescent="0.2">
      <c r="C229" s="19" t="s">
        <v>1002</v>
      </c>
      <c r="D229" s="53" t="s">
        <v>881</v>
      </c>
      <c r="H229" s="138"/>
      <c r="J229" s="243"/>
      <c r="K229" s="172">
        <f>K218+K212+K206</f>
        <v>21577.981892409036</v>
      </c>
      <c r="L229" s="172">
        <f>L218+L212+L206</f>
        <v>20502.348191903726</v>
      </c>
      <c r="M229" s="172">
        <f>M218+M212+M206</f>
        <v>19257.075070673822</v>
      </c>
      <c r="N229" s="172">
        <f>N218+N212+N206</f>
        <v>17809.284648290879</v>
      </c>
      <c r="O229" s="172">
        <f>O218+O212+O206</f>
        <v>16051.799869042654</v>
      </c>
    </row>
    <row r="230" spans="2:15" x14ac:dyDescent="0.2">
      <c r="C230" s="19" t="s">
        <v>1003</v>
      </c>
      <c r="D230" s="53" t="s">
        <v>881</v>
      </c>
      <c r="H230" s="138"/>
      <c r="J230" s="243"/>
      <c r="K230" s="172">
        <f>K229+K224</f>
        <v>28641.856892409036</v>
      </c>
      <c r="L230" s="172">
        <f>L229+L224</f>
        <v>27919.416941903728</v>
      </c>
      <c r="M230" s="172">
        <f>M229+M224</f>
        <v>27044.997258173822</v>
      </c>
      <c r="N230" s="172">
        <f>N229+N224</f>
        <v>25986.60294516588</v>
      </c>
      <c r="O230" s="172">
        <f>O229+O224</f>
        <v>24637.984080761405</v>
      </c>
    </row>
    <row r="231" spans="2:15" x14ac:dyDescent="0.2">
      <c r="C231" s="19" t="s">
        <v>1031</v>
      </c>
      <c r="D231" s="53" t="s">
        <v>881</v>
      </c>
      <c r="H231" s="138"/>
      <c r="J231" s="243"/>
      <c r="K231" s="172">
        <f>K230-K101-K108</f>
        <v>30236.076672626401</v>
      </c>
      <c r="L231" s="172">
        <f t="shared" ref="L231:O231" si="82">L230-L101-L108</f>
        <v>29542.966861731456</v>
      </c>
      <c r="M231" s="172">
        <f t="shared" si="82"/>
        <v>28698.913737313062</v>
      </c>
      <c r="N231" s="172">
        <f t="shared" si="82"/>
        <v>27671.863916765436</v>
      </c>
      <c r="O231" s="172">
        <f t="shared" si="82"/>
        <v>26355.521771824191</v>
      </c>
    </row>
    <row r="232" spans="2:15" x14ac:dyDescent="0.2">
      <c r="C232" s="19" t="s">
        <v>1032</v>
      </c>
      <c r="D232" s="53" t="s">
        <v>881</v>
      </c>
      <c r="H232" s="138"/>
      <c r="J232" s="243"/>
      <c r="K232" s="430">
        <f>K231-K159</f>
        <v>29936.076672626401</v>
      </c>
      <c r="L232" s="430">
        <f t="shared" ref="L232:O232" si="83">L231-L159</f>
        <v>29242.966861731456</v>
      </c>
      <c r="M232" s="430">
        <f t="shared" si="83"/>
        <v>28374.488760871001</v>
      </c>
      <c r="N232" s="430">
        <f t="shared" si="83"/>
        <v>27233.117109304454</v>
      </c>
      <c r="O232" s="430">
        <f t="shared" si="83"/>
        <v>25813.543512074782</v>
      </c>
    </row>
    <row r="233" spans="2:15" x14ac:dyDescent="0.2">
      <c r="C233" s="19"/>
      <c r="D233" s="5"/>
      <c r="H233" s="138"/>
      <c r="J233" s="243"/>
    </row>
    <row r="234" spans="2:15" x14ac:dyDescent="0.2">
      <c r="C234" s="24" t="s">
        <v>704</v>
      </c>
      <c r="D234" s="53" t="s">
        <v>881</v>
      </c>
      <c r="E234" s="172">
        <f>'3_Statment_model'!E105</f>
        <v>50</v>
      </c>
      <c r="F234" s="172">
        <f>'3_Statment_model'!F105</f>
        <v>65</v>
      </c>
      <c r="G234" s="172">
        <f>'3_Statment_model'!G105</f>
        <v>77</v>
      </c>
      <c r="H234" s="138"/>
      <c r="J234" s="243"/>
      <c r="K234" s="77">
        <f>'3_Statment_model'!H105</f>
        <v>74.105548208948505</v>
      </c>
      <c r="L234" s="77">
        <f>'3_Statment_model'!I105</f>
        <v>75.44095196587304</v>
      </c>
      <c r="M234" s="77">
        <f>'3_Statment_model'!J105</f>
        <v>76.82889965097587</v>
      </c>
      <c r="N234" s="77">
        <f>'3_Statment_model'!K105</f>
        <v>78.265892323389139</v>
      </c>
      <c r="O234" s="77">
        <f>'3_Statment_model'!L105</f>
        <v>79.749162308767851</v>
      </c>
    </row>
    <row r="235" spans="2:15" x14ac:dyDescent="0.2">
      <c r="C235" s="24" t="s">
        <v>1004</v>
      </c>
      <c r="D235" s="53" t="s">
        <v>881</v>
      </c>
      <c r="E235" s="172">
        <f>-('3_Statment_model'!E136+'3_Statment_model'!E105)</f>
        <v>209</v>
      </c>
      <c r="F235" s="172">
        <f>-('3_Statment_model'!F136+'3_Statment_model'!F105)</f>
        <v>328</v>
      </c>
      <c r="G235" s="172">
        <f>-('3_Statment_model'!G136+'3_Statment_model'!G105)</f>
        <v>352</v>
      </c>
      <c r="H235" s="138"/>
      <c r="J235" s="243"/>
      <c r="K235" s="77">
        <f>K185</f>
        <v>2208.8625000000002</v>
      </c>
      <c r="L235" s="77">
        <f t="shared" ref="L235:O235" si="84">L185</f>
        <v>2186.3705493514744</v>
      </c>
      <c r="M235" s="77">
        <f t="shared" si="84"/>
        <v>2153.5581550749457</v>
      </c>
      <c r="N235" s="77">
        <f t="shared" si="84"/>
        <v>2112.6286609026938</v>
      </c>
      <c r="O235" s="77">
        <f t="shared" si="84"/>
        <v>2058.3484023666497</v>
      </c>
    </row>
    <row r="236" spans="2:15" x14ac:dyDescent="0.2">
      <c r="C236" s="24" t="s">
        <v>1005</v>
      </c>
      <c r="D236" s="53" t="s">
        <v>881</v>
      </c>
      <c r="E236" s="436">
        <v>0</v>
      </c>
      <c r="F236" s="436">
        <v>0</v>
      </c>
      <c r="G236" s="436">
        <v>0</v>
      </c>
      <c r="H236" s="138"/>
      <c r="J236" s="243"/>
      <c r="K236" s="77">
        <f>-K71</f>
        <v>83.292857142857159</v>
      </c>
      <c r="L236" s="77">
        <f t="shared" ref="L236:O236" si="85">-L71</f>
        <v>83.292857142857159</v>
      </c>
      <c r="M236" s="77">
        <f t="shared" si="85"/>
        <v>83.292857142857159</v>
      </c>
      <c r="N236" s="77">
        <f t="shared" si="85"/>
        <v>83.292857142857159</v>
      </c>
      <c r="O236" s="77">
        <f t="shared" si="85"/>
        <v>83.292857142857159</v>
      </c>
    </row>
    <row r="237" spans="2:15" x14ac:dyDescent="0.2">
      <c r="C237" s="405" t="s">
        <v>765</v>
      </c>
      <c r="D237" s="418" t="s">
        <v>881</v>
      </c>
      <c r="E237" s="471">
        <f>SUM(E234:E236)</f>
        <v>259</v>
      </c>
      <c r="F237" s="471">
        <f t="shared" ref="F237:G237" si="86">SUM(F234:F236)</f>
        <v>393</v>
      </c>
      <c r="G237" s="471">
        <f t="shared" si="86"/>
        <v>429</v>
      </c>
      <c r="H237" s="247"/>
      <c r="I237" s="25"/>
      <c r="J237" s="250"/>
      <c r="K237" s="470">
        <f>SUM(K234:K236)</f>
        <v>2366.2609053518058</v>
      </c>
      <c r="L237" s="470">
        <f t="shared" ref="L237:O237" si="87">SUM(L234:L236)</f>
        <v>2345.1043584602044</v>
      </c>
      <c r="M237" s="470">
        <f t="shared" si="87"/>
        <v>2313.6799118687786</v>
      </c>
      <c r="N237" s="470">
        <f t="shared" si="87"/>
        <v>2274.1874103689397</v>
      </c>
      <c r="O237" s="470">
        <f t="shared" si="87"/>
        <v>2221.3904218182747</v>
      </c>
    </row>
    <row r="238" spans="2:15" x14ac:dyDescent="0.2">
      <c r="C238" s="19"/>
      <c r="D238" s="5"/>
      <c r="H238" s="138"/>
      <c r="J238" s="243"/>
    </row>
    <row r="239" spans="2:15" x14ac:dyDescent="0.2">
      <c r="C239" s="19" t="s">
        <v>1006</v>
      </c>
      <c r="D239" s="53" t="s">
        <v>909</v>
      </c>
      <c r="H239" s="138"/>
      <c r="J239" s="243"/>
      <c r="K239" s="110">
        <f>K229/K$228</f>
        <v>4.7699688566639518</v>
      </c>
      <c r="L239" s="110">
        <f t="shared" ref="L239:O239" si="88">L229/L$228</f>
        <v>4.1869441023378586</v>
      </c>
      <c r="M239" s="110">
        <f t="shared" si="88"/>
        <v>3.647231984519927</v>
      </c>
      <c r="N239" s="110">
        <f t="shared" si="88"/>
        <v>3.0735928740178857</v>
      </c>
      <c r="O239" s="110">
        <f t="shared" si="88"/>
        <v>2.5890142518269976</v>
      </c>
    </row>
    <row r="240" spans="2:15" x14ac:dyDescent="0.2">
      <c r="C240" s="19" t="s">
        <v>1007</v>
      </c>
      <c r="D240" s="53" t="s">
        <v>909</v>
      </c>
      <c r="H240" s="138"/>
      <c r="J240" s="243"/>
      <c r="K240" s="110">
        <f t="shared" ref="K240:O240" si="89">K230/K$228</f>
        <v>6.3314894810380284</v>
      </c>
      <c r="L240" s="110">
        <f t="shared" si="89"/>
        <v>5.7016414418216526</v>
      </c>
      <c r="M240" s="110">
        <f t="shared" si="89"/>
        <v>5.1222409768491293</v>
      </c>
      <c r="N240" s="110">
        <f t="shared" si="89"/>
        <v>4.4848650133658925</v>
      </c>
      <c r="O240" s="110">
        <f t="shared" si="89"/>
        <v>3.9738903077404459</v>
      </c>
    </row>
    <row r="241" spans="2:15" x14ac:dyDescent="0.2">
      <c r="C241" s="19" t="s">
        <v>1033</v>
      </c>
      <c r="D241" s="53" t="s">
        <v>909</v>
      </c>
      <c r="H241" s="138"/>
      <c r="J241" s="243"/>
      <c r="K241" s="110">
        <f t="shared" ref="K241:O241" si="90">K231/K$228</f>
        <v>6.6839032860097367</v>
      </c>
      <c r="L241" s="110">
        <f t="shared" si="90"/>
        <v>6.0331992076954268</v>
      </c>
      <c r="M241" s="110">
        <f t="shared" si="90"/>
        <v>5.4354877736914782</v>
      </c>
      <c r="N241" s="110">
        <f t="shared" si="90"/>
        <v>4.7757136474049888</v>
      </c>
      <c r="O241" s="110">
        <f t="shared" si="90"/>
        <v>4.2509140431775858</v>
      </c>
    </row>
    <row r="242" spans="2:15" x14ac:dyDescent="0.2">
      <c r="C242" s="19" t="s">
        <v>1034</v>
      </c>
      <c r="D242" s="53" t="s">
        <v>909</v>
      </c>
      <c r="H242" s="138"/>
      <c r="J242" s="243"/>
      <c r="K242" s="110">
        <f t="shared" ref="K242:O242" si="91">K232/K$228</f>
        <v>6.617586117697412</v>
      </c>
      <c r="L242" s="110">
        <f t="shared" si="91"/>
        <v>5.9719338726740769</v>
      </c>
      <c r="M242" s="110">
        <f t="shared" si="91"/>
        <v>5.3740426608529992</v>
      </c>
      <c r="N242" s="110">
        <f t="shared" si="91"/>
        <v>4.6999930843648787</v>
      </c>
      <c r="O242" s="110">
        <f t="shared" si="91"/>
        <v>4.1634977129143493</v>
      </c>
    </row>
    <row r="243" spans="2:15" x14ac:dyDescent="0.2">
      <c r="C243" s="19"/>
      <c r="D243" s="5"/>
      <c r="H243" s="138"/>
      <c r="J243" s="243"/>
    </row>
    <row r="244" spans="2:15" x14ac:dyDescent="0.2">
      <c r="C244" s="19" t="s">
        <v>1008</v>
      </c>
      <c r="D244" s="53" t="s">
        <v>909</v>
      </c>
      <c r="E244" s="472">
        <f>E228/E237</f>
        <v>12.606177606177607</v>
      </c>
      <c r="F244" s="472">
        <f t="shared" ref="F244:G244" si="92">F228/F237</f>
        <v>9.2468193384223927</v>
      </c>
      <c r="G244" s="472">
        <f t="shared" si="92"/>
        <v>9.6829836829836822</v>
      </c>
      <c r="H244" s="138"/>
      <c r="J244" s="243"/>
      <c r="K244" s="472">
        <f>K228/K237</f>
        <v>1.9117568381556385</v>
      </c>
      <c r="L244" s="472">
        <f t="shared" ref="L244:O244" si="93">L228/L237</f>
        <v>2.0880662228105962</v>
      </c>
      <c r="M244" s="472">
        <f t="shared" si="93"/>
        <v>2.2820421397554682</v>
      </c>
      <c r="N244" s="472">
        <f t="shared" si="93"/>
        <v>2.5478501619471459</v>
      </c>
      <c r="O244" s="472">
        <f t="shared" si="93"/>
        <v>2.7910293297344113</v>
      </c>
    </row>
    <row r="245" spans="2:15" x14ac:dyDescent="0.2">
      <c r="C245" s="19" t="s">
        <v>1009</v>
      </c>
      <c r="D245" s="53" t="s">
        <v>909</v>
      </c>
      <c r="E245" s="472">
        <f>E228/E235</f>
        <v>15.62200956937799</v>
      </c>
      <c r="F245" s="472">
        <f t="shared" ref="F245:G245" si="94">F228/F235</f>
        <v>11.079268292682928</v>
      </c>
      <c r="G245" s="472">
        <f t="shared" si="94"/>
        <v>11.801136363636363</v>
      </c>
      <c r="H245" s="138"/>
      <c r="J245" s="243"/>
      <c r="K245" s="472">
        <f>K228/K235</f>
        <v>2.047984184921726</v>
      </c>
      <c r="L245" s="472">
        <f t="shared" ref="L245:O245" si="95">L228/L235</f>
        <v>2.2396629891118609</v>
      </c>
      <c r="M245" s="472">
        <f t="shared" si="95"/>
        <v>2.4517169616933447</v>
      </c>
      <c r="N245" s="472">
        <f t="shared" si="95"/>
        <v>2.7426915430233976</v>
      </c>
      <c r="O245" s="472">
        <f t="shared" si="95"/>
        <v>3.0121070917621613</v>
      </c>
    </row>
    <row r="246" spans="2:15" x14ac:dyDescent="0.2">
      <c r="C246" s="19"/>
      <c r="D246" s="5"/>
      <c r="H246" s="138"/>
      <c r="J246" s="243"/>
    </row>
    <row r="247" spans="2:15" x14ac:dyDescent="0.2">
      <c r="C247" s="19" t="s">
        <v>1010</v>
      </c>
      <c r="D247" s="53" t="s">
        <v>881</v>
      </c>
      <c r="H247" s="138"/>
      <c r="J247" s="243"/>
      <c r="K247" s="430">
        <f>-SUM(K154:K155)</f>
        <v>847.01810759096384</v>
      </c>
      <c r="L247" s="430">
        <f t="shared" ref="L247:O247" si="96">-SUM(L154:L155)</f>
        <v>1075.6337005053106</v>
      </c>
      <c r="M247" s="430">
        <f t="shared" si="96"/>
        <v>1245.273121229905</v>
      </c>
      <c r="N247" s="430">
        <f t="shared" si="96"/>
        <v>1447.7904223829435</v>
      </c>
      <c r="O247" s="430">
        <f t="shared" si="96"/>
        <v>1757.4847792482283</v>
      </c>
    </row>
    <row r="248" spans="2:15" x14ac:dyDescent="0.2">
      <c r="C248" s="19" t="s">
        <v>1011</v>
      </c>
      <c r="D248" s="53" t="s">
        <v>692</v>
      </c>
      <c r="H248" s="138"/>
      <c r="J248" s="243"/>
      <c r="K248" s="62">
        <f>K247/(J206+J212+J218+J224)</f>
        <v>2.9054733130639356E-2</v>
      </c>
      <c r="L248" s="62">
        <f t="shared" ref="L248:O248" si="97">L247/(K206+K212+K218+K224)</f>
        <v>3.7554607738801538E-2</v>
      </c>
      <c r="M248" s="62">
        <f t="shared" si="97"/>
        <v>4.4602404262995117E-2</v>
      </c>
      <c r="N248" s="62">
        <f t="shared" si="97"/>
        <v>5.3532651845449052E-2</v>
      </c>
      <c r="O248" s="62">
        <f t="shared" si="97"/>
        <v>6.7630416447916744E-2</v>
      </c>
    </row>
    <row r="249" spans="2:15" x14ac:dyDescent="0.2">
      <c r="C249" s="19"/>
      <c r="D249" s="5"/>
      <c r="H249" s="138"/>
      <c r="J249" s="243"/>
    </row>
    <row r="250" spans="2:15" x14ac:dyDescent="0.2">
      <c r="C250" s="19" t="s">
        <v>1012</v>
      </c>
      <c r="D250" s="53" t="s">
        <v>692</v>
      </c>
      <c r="F250" s="62">
        <f>(F61-E61)/E61</f>
        <v>0.10802754108739811</v>
      </c>
      <c r="G250" s="62">
        <f>(G61-F61)/F61</f>
        <v>9.6852530831865152E-2</v>
      </c>
      <c r="H250" s="138"/>
      <c r="J250" s="243"/>
      <c r="K250" s="62">
        <f>(K61-G61)/G61</f>
        <v>8.0000000000000127E-2</v>
      </c>
      <c r="L250" s="62">
        <f>(L61-K61)/K61</f>
        <v>7.6500000000000082E-2</v>
      </c>
      <c r="M250" s="62">
        <f t="shared" ref="M250:O250" si="98">(M61-L61)/L61</f>
        <v>7.2999999999999968E-2</v>
      </c>
      <c r="N250" s="62">
        <f t="shared" si="98"/>
        <v>6.9500000000000159E-2</v>
      </c>
      <c r="O250" s="62">
        <f t="shared" si="98"/>
        <v>6.6000000000000086E-2</v>
      </c>
    </row>
    <row r="251" spans="2:15" x14ac:dyDescent="0.2">
      <c r="C251" s="19" t="s">
        <v>775</v>
      </c>
      <c r="D251" s="53" t="s">
        <v>692</v>
      </c>
      <c r="E251" s="62">
        <f>E228/E61</f>
        <v>8.613184899886564E-2</v>
      </c>
      <c r="F251" s="62">
        <f t="shared" ref="F251:G251" si="99">F228/F61</f>
        <v>8.6519689538593403E-2</v>
      </c>
      <c r="G251" s="62">
        <f t="shared" si="99"/>
        <v>9.0167136965487296E-2</v>
      </c>
      <c r="H251" s="138"/>
      <c r="J251" s="243"/>
      <c r="K251" s="62">
        <f>K228/K61</f>
        <v>9.0918720036873554E-2</v>
      </c>
      <c r="L251" s="62">
        <f t="shared" ref="L251:O251" si="100">L228/L61</f>
        <v>9.1421941511261984E-2</v>
      </c>
      <c r="M251" s="62">
        <f t="shared" si="100"/>
        <v>9.186947018756951E-2</v>
      </c>
      <c r="N251" s="62">
        <f t="shared" si="100"/>
        <v>9.4267854312827998E-2</v>
      </c>
      <c r="O251" s="62">
        <f t="shared" si="100"/>
        <v>9.4622752638675367E-2</v>
      </c>
    </row>
    <row r="253" spans="2:15" x14ac:dyDescent="0.2">
      <c r="B253" s="2"/>
      <c r="C253" s="2"/>
      <c r="D253" s="2"/>
      <c r="E253" s="10"/>
      <c r="F253" s="10" t="s">
        <v>4</v>
      </c>
      <c r="G253" s="11"/>
      <c r="H253" s="375" t="s">
        <v>946</v>
      </c>
      <c r="I253" s="238"/>
      <c r="J253" s="378"/>
      <c r="K253" s="13"/>
      <c r="L253" s="14"/>
      <c r="M253" s="14" t="s">
        <v>5</v>
      </c>
      <c r="N253" s="14"/>
      <c r="O253" s="14"/>
    </row>
    <row r="254" spans="2:15" x14ac:dyDescent="0.2">
      <c r="B254" s="2" t="s">
        <v>1013</v>
      </c>
      <c r="C254" s="2"/>
      <c r="D254" s="2" t="str">
        <f>$D$3</f>
        <v>Name</v>
      </c>
      <c r="E254" s="45">
        <f>EOMONTH(F254,-12)</f>
        <v>45199</v>
      </c>
      <c r="F254" s="45">
        <f>EOMONTH(G254,-12)</f>
        <v>45565</v>
      </c>
      <c r="G254" s="45">
        <f>E4</f>
        <v>45930</v>
      </c>
      <c r="H254" s="376" t="s">
        <v>947</v>
      </c>
      <c r="I254" s="45" t="s">
        <v>948</v>
      </c>
      <c r="J254" s="377">
        <f>G254</f>
        <v>45930</v>
      </c>
      <c r="K254" s="45">
        <f>EOMONTH(G254,12)</f>
        <v>46295</v>
      </c>
      <c r="L254" s="45">
        <f t="shared" ref="L254" si="101">EOMONTH(K254,12)</f>
        <v>46660</v>
      </c>
      <c r="M254" s="45">
        <f t="shared" ref="M254" si="102">EOMONTH(L254,12)</f>
        <v>47026</v>
      </c>
      <c r="N254" s="45">
        <f t="shared" ref="N254" si="103">EOMONTH(M254,12)</f>
        <v>47391</v>
      </c>
      <c r="O254" s="45">
        <f t="shared" ref="O254" si="104">EOMONTH(N254,12)</f>
        <v>47756</v>
      </c>
    </row>
    <row r="255" spans="2:15" x14ac:dyDescent="0.2">
      <c r="C255" s="5" t="s">
        <v>1014</v>
      </c>
      <c r="D255" s="53" t="s">
        <v>1015</v>
      </c>
      <c r="H255" s="138"/>
      <c r="J255" s="243"/>
      <c r="K255" s="65">
        <v>1</v>
      </c>
      <c r="L255">
        <f>K255+1</f>
        <v>2</v>
      </c>
      <c r="M255">
        <f t="shared" ref="M255:O255" si="105">L255+1</f>
        <v>3</v>
      </c>
      <c r="N255">
        <f t="shared" si="105"/>
        <v>4</v>
      </c>
      <c r="O255">
        <f t="shared" si="105"/>
        <v>5</v>
      </c>
    </row>
    <row r="256" spans="2:15" x14ac:dyDescent="0.2">
      <c r="C256" s="5"/>
      <c r="D256" s="5"/>
      <c r="H256" s="138"/>
      <c r="J256" s="243"/>
    </row>
    <row r="257" spans="3:15" x14ac:dyDescent="0.2">
      <c r="C257" s="20" t="s">
        <v>774</v>
      </c>
      <c r="D257" s="53" t="s">
        <v>881</v>
      </c>
      <c r="H257" s="138"/>
      <c r="J257" s="243"/>
      <c r="M257" s="483">
        <f>M228</f>
        <v>5279.9150567902707</v>
      </c>
      <c r="N257" s="483">
        <f t="shared" ref="N257:O257" si="106">N228</f>
        <v>5794.2887618066634</v>
      </c>
      <c r="O257" s="483">
        <f t="shared" si="106"/>
        <v>6199.9658200859003</v>
      </c>
    </row>
    <row r="258" spans="3:15" x14ac:dyDescent="0.2">
      <c r="C258" s="19" t="s">
        <v>1016</v>
      </c>
      <c r="D258" s="481" t="s">
        <v>909</v>
      </c>
      <c r="E258" s="21"/>
      <c r="F258" s="21"/>
      <c r="G258" s="21"/>
      <c r="H258" s="466"/>
      <c r="I258" s="21"/>
      <c r="J258" s="467"/>
      <c r="K258" s="21"/>
      <c r="L258" s="21"/>
      <c r="M258" s="484">
        <f>N31</f>
        <v>15</v>
      </c>
      <c r="N258" s="484">
        <f>M258-0.5</f>
        <v>14.5</v>
      </c>
      <c r="O258" s="484">
        <f>N258-0.5</f>
        <v>14</v>
      </c>
    </row>
    <row r="259" spans="3:15" x14ac:dyDescent="0.2">
      <c r="C259" s="18" t="s">
        <v>1017</v>
      </c>
      <c r="D259" s="53" t="s">
        <v>881</v>
      </c>
      <c r="H259" s="138"/>
      <c r="J259" s="243"/>
      <c r="M259" s="486">
        <f>M257*M258</f>
        <v>79198.725851854062</v>
      </c>
      <c r="N259" s="486">
        <f t="shared" ref="N259:O259" si="107">N257*N258</f>
        <v>84017.187046196617</v>
      </c>
      <c r="O259" s="486">
        <f t="shared" si="107"/>
        <v>86799.52148120261</v>
      </c>
    </row>
    <row r="260" spans="3:15" x14ac:dyDescent="0.2">
      <c r="C260" s="19" t="s">
        <v>862</v>
      </c>
      <c r="D260" s="53" t="s">
        <v>881</v>
      </c>
      <c r="H260" s="138"/>
      <c r="J260" s="243"/>
      <c r="M260" s="37">
        <f>M159</f>
        <v>324.4249764420598</v>
      </c>
      <c r="N260" s="37">
        <f t="shared" ref="N260:O260" si="108">N159</f>
        <v>438.74680746098119</v>
      </c>
      <c r="O260" s="37">
        <f t="shared" si="108"/>
        <v>541.97825974940952</v>
      </c>
    </row>
    <row r="261" spans="3:15" x14ac:dyDescent="0.2">
      <c r="C261" s="19" t="s">
        <v>884</v>
      </c>
      <c r="D261" s="53" t="s">
        <v>881</v>
      </c>
      <c r="H261" s="138"/>
      <c r="J261" s="243"/>
      <c r="M261" s="430">
        <f>-M230</f>
        <v>-27044.997258173822</v>
      </c>
      <c r="N261" s="430">
        <f t="shared" ref="N261:O261" si="109">-N230</f>
        <v>-25986.60294516588</v>
      </c>
      <c r="O261" s="430">
        <f t="shared" si="109"/>
        <v>-24637.984080761405</v>
      </c>
    </row>
    <row r="262" spans="3:15" x14ac:dyDescent="0.2">
      <c r="C262" s="19" t="s">
        <v>863</v>
      </c>
      <c r="D262" s="53" t="s">
        <v>881</v>
      </c>
      <c r="H262" s="138"/>
      <c r="J262" s="243"/>
      <c r="M262" s="430">
        <f>0</f>
        <v>0</v>
      </c>
      <c r="N262" s="430">
        <f>0</f>
        <v>0</v>
      </c>
      <c r="O262" s="430">
        <f>0</f>
        <v>0</v>
      </c>
    </row>
    <row r="263" spans="3:15" x14ac:dyDescent="0.2">
      <c r="C263" s="19" t="s">
        <v>885</v>
      </c>
      <c r="D263" s="53" t="s">
        <v>881</v>
      </c>
      <c r="H263" s="138"/>
      <c r="J263" s="243"/>
      <c r="M263" s="37">
        <f>M101+M108</f>
        <v>-1653.9164791392409</v>
      </c>
      <c r="N263" s="37">
        <f>N101+N108</f>
        <v>-1685.2609715995582</v>
      </c>
      <c r="O263" s="37">
        <f>O101+O108</f>
        <v>-1717.5376910627865</v>
      </c>
    </row>
    <row r="264" spans="3:15" x14ac:dyDescent="0.2">
      <c r="C264" s="19" t="s">
        <v>864</v>
      </c>
      <c r="D264" s="441" t="s">
        <v>881</v>
      </c>
      <c r="H264" s="138"/>
      <c r="J264" s="243"/>
      <c r="M264" s="37">
        <f>-M118</f>
        <v>-107</v>
      </c>
      <c r="N264" s="37">
        <f t="shared" ref="N264:O264" si="110">-N118</f>
        <v>-107</v>
      </c>
      <c r="O264" s="37">
        <f t="shared" si="110"/>
        <v>-107</v>
      </c>
    </row>
    <row r="265" spans="3:15" x14ac:dyDescent="0.2">
      <c r="C265" s="485" t="s">
        <v>887</v>
      </c>
      <c r="D265" s="481" t="s">
        <v>881</v>
      </c>
      <c r="E265" s="21"/>
      <c r="F265" s="21"/>
      <c r="G265" s="21"/>
      <c r="H265" s="466"/>
      <c r="I265" s="21"/>
      <c r="J265" s="467"/>
      <c r="K265" s="21"/>
      <c r="L265" s="21"/>
      <c r="M265" s="122">
        <f>-$E$18</f>
        <v>202</v>
      </c>
      <c r="N265" s="122">
        <f t="shared" ref="N265:O265" si="111">-$E$18</f>
        <v>202</v>
      </c>
      <c r="O265" s="122">
        <f t="shared" si="111"/>
        <v>202</v>
      </c>
    </row>
    <row r="266" spans="3:15" x14ac:dyDescent="0.2">
      <c r="C266" s="20" t="s">
        <v>1018</v>
      </c>
      <c r="D266" s="53" t="s">
        <v>881</v>
      </c>
      <c r="H266" s="138"/>
      <c r="J266" s="243"/>
      <c r="M266" s="71">
        <f>SUM(M259:M265)</f>
        <v>50919.23709098305</v>
      </c>
      <c r="N266" s="71">
        <f t="shared" ref="N266:O266" si="112">SUM(N259:N265)</f>
        <v>56879.069936892156</v>
      </c>
      <c r="O266" s="71">
        <f t="shared" si="112"/>
        <v>61080.977969127816</v>
      </c>
    </row>
    <row r="267" spans="3:15" x14ac:dyDescent="0.2">
      <c r="C267" s="5"/>
      <c r="D267" s="5"/>
      <c r="H267" s="138"/>
      <c r="J267" s="243"/>
    </row>
    <row r="268" spans="3:15" x14ac:dyDescent="0.2">
      <c r="C268" s="292" t="s">
        <v>1019</v>
      </c>
      <c r="D268" s="310"/>
      <c r="E268" s="38"/>
      <c r="F268" s="38"/>
      <c r="G268" s="38"/>
      <c r="H268" s="259"/>
      <c r="I268" s="38"/>
      <c r="J268" s="482"/>
      <c r="K268" s="38"/>
      <c r="L268" s="38"/>
      <c r="M268" s="38"/>
      <c r="N268" s="38"/>
      <c r="O268" s="38"/>
    </row>
    <row r="269" spans="3:15" x14ac:dyDescent="0.2">
      <c r="C269" s="19" t="s">
        <v>1020</v>
      </c>
      <c r="D269" s="53" t="s">
        <v>909</v>
      </c>
      <c r="H269" s="138"/>
      <c r="J269" s="243"/>
      <c r="M269" s="472">
        <f>M266/$D$48</f>
        <v>1.0593384071118943</v>
      </c>
      <c r="N269" s="472">
        <f t="shared" ref="N269:O269" si="113">N266/$D$48</f>
        <v>1.1833284783369897</v>
      </c>
      <c r="O269" s="472">
        <f t="shared" si="113"/>
        <v>1.270746177737035</v>
      </c>
    </row>
    <row r="270" spans="3:15" x14ac:dyDescent="0.2">
      <c r="C270" s="19" t="s">
        <v>1021</v>
      </c>
      <c r="D270" s="53" t="s">
        <v>692</v>
      </c>
      <c r="H270" s="138"/>
      <c r="J270" s="243"/>
      <c r="M270" s="487">
        <f>(M266/$D$48)^(1/M255)-1</f>
        <v>1.9400649785952684E-2</v>
      </c>
      <c r="N270" s="487">
        <f>(N266/$D$48)^(1/N255)-1</f>
        <v>4.2980837116818105E-2</v>
      </c>
      <c r="O270" s="487">
        <f>(O266/$D$48)^(1/O255)-1</f>
        <v>4.9087620836609114E-2</v>
      </c>
    </row>
    <row r="271" spans="3:15" x14ac:dyDescent="0.2">
      <c r="C271" s="5"/>
      <c r="D271" s="5"/>
      <c r="H271" s="138"/>
      <c r="J271" s="243"/>
    </row>
    <row r="272" spans="3:15" x14ac:dyDescent="0.2">
      <c r="C272" s="292" t="s">
        <v>1022</v>
      </c>
      <c r="D272" s="310"/>
      <c r="E272" s="38"/>
      <c r="F272" s="38"/>
      <c r="G272" s="38"/>
      <c r="H272" s="259"/>
      <c r="I272" s="38"/>
      <c r="J272" s="482"/>
      <c r="K272" s="38"/>
      <c r="L272" s="38"/>
      <c r="M272" s="38"/>
      <c r="N272" s="38"/>
      <c r="O272" s="38"/>
    </row>
    <row r="273" spans="3:15" x14ac:dyDescent="0.2">
      <c r="C273" s="473" t="s">
        <v>1023</v>
      </c>
      <c r="D273" s="5"/>
      <c r="H273" s="138"/>
      <c r="J273" s="243"/>
    </row>
    <row r="274" spans="3:15" x14ac:dyDescent="0.2">
      <c r="C274" s="24" t="s">
        <v>1024</v>
      </c>
      <c r="D274" s="53" t="s">
        <v>881</v>
      </c>
      <c r="H274" s="138"/>
      <c r="J274" s="488">
        <f>-D46</f>
        <v>-7075.2937500000007</v>
      </c>
    </row>
    <row r="275" spans="3:15" x14ac:dyDescent="0.2">
      <c r="C275" s="474" t="s">
        <v>1025</v>
      </c>
      <c r="D275" s="399" t="s">
        <v>881</v>
      </c>
      <c r="E275" s="21"/>
      <c r="F275" s="21"/>
      <c r="G275" s="21"/>
      <c r="H275" s="466"/>
      <c r="I275" s="21"/>
      <c r="J275" s="467"/>
      <c r="K275" s="355">
        <f>IF(K254=$N$25,K266*$E$46,0)</f>
        <v>0</v>
      </c>
      <c r="L275" s="355">
        <f>IF(L254=$N$25,L266*$E$46,0)</f>
        <v>0</v>
      </c>
      <c r="M275" s="355">
        <f>IF(M254=$N$25,M266*$E$46,0)</f>
        <v>0</v>
      </c>
      <c r="N275" s="355">
        <f>IF(N254=$N$25,N266*$E$46,0)</f>
        <v>0</v>
      </c>
      <c r="O275" s="355">
        <f>IF(O254=$N$25,O266*$E$46,0)</f>
        <v>8990.9024891792342</v>
      </c>
    </row>
    <row r="276" spans="3:15" x14ac:dyDescent="0.2">
      <c r="C276" s="405" t="s">
        <v>1026</v>
      </c>
      <c r="D276" s="53" t="s">
        <v>881</v>
      </c>
      <c r="H276" s="138"/>
      <c r="J276" s="489">
        <f>SUM(J274:J275)</f>
        <v>-7075.2937500000007</v>
      </c>
      <c r="K276" s="486">
        <f>SUM(K274:K275)</f>
        <v>0</v>
      </c>
      <c r="L276" s="486">
        <f>SUM(L274:L275)</f>
        <v>0</v>
      </c>
      <c r="M276" s="486">
        <f>SUM(M274:M275)</f>
        <v>0</v>
      </c>
      <c r="N276" s="486">
        <f>SUM(N274:N275)</f>
        <v>0</v>
      </c>
      <c r="O276" s="486">
        <f>SUM(O274:O275)</f>
        <v>8990.9024891792342</v>
      </c>
    </row>
    <row r="277" spans="3:15" x14ac:dyDescent="0.2">
      <c r="C277" s="5"/>
      <c r="D277" s="5"/>
      <c r="H277" s="138"/>
      <c r="J277" s="243"/>
    </row>
    <row r="278" spans="3:15" x14ac:dyDescent="0.2">
      <c r="C278" s="410" t="s">
        <v>1020</v>
      </c>
      <c r="D278" s="53" t="s">
        <v>909</v>
      </c>
      <c r="H278" s="138"/>
      <c r="J278" s="490">
        <f>-SUMIF(J276:O276,"&gt;0",J276:O276)/SUMIF(J276:O276,"&lt;=0",J276:O276)</f>
        <v>1.270746177737035</v>
      </c>
    </row>
    <row r="279" spans="3:15" x14ac:dyDescent="0.2">
      <c r="C279" s="410" t="s">
        <v>1021</v>
      </c>
      <c r="D279" s="53" t="s">
        <v>692</v>
      </c>
      <c r="H279" s="138"/>
      <c r="J279" s="491">
        <f>IRR(J276:O276)</f>
        <v>4.9087620836651302E-2</v>
      </c>
    </row>
    <row r="280" spans="3:15" x14ac:dyDescent="0.2">
      <c r="C280" s="5"/>
      <c r="D280" s="5"/>
      <c r="H280" s="138"/>
      <c r="J280" s="243"/>
    </row>
    <row r="281" spans="3:15" x14ac:dyDescent="0.2">
      <c r="C281" s="292" t="s">
        <v>1027</v>
      </c>
      <c r="D281" s="310"/>
      <c r="E281" s="38"/>
      <c r="F281" s="38"/>
      <c r="G281" s="38"/>
      <c r="H281" s="259"/>
      <c r="I281" s="38"/>
      <c r="J281" s="482"/>
      <c r="K281" s="38"/>
      <c r="L281" s="38"/>
      <c r="M281" s="38"/>
      <c r="N281" s="38"/>
      <c r="O281" s="38"/>
    </row>
    <row r="282" spans="3:15" x14ac:dyDescent="0.2">
      <c r="C282" s="473" t="s">
        <v>1028</v>
      </c>
      <c r="D282" s="5"/>
      <c r="H282" s="138"/>
      <c r="J282" s="243"/>
    </row>
    <row r="283" spans="3:15" x14ac:dyDescent="0.2">
      <c r="C283" s="24" t="s">
        <v>1024</v>
      </c>
      <c r="D283" s="53" t="s">
        <v>881</v>
      </c>
      <c r="H283" s="138"/>
      <c r="J283" s="492">
        <f>-D47</f>
        <v>-40991.723125000004</v>
      </c>
    </row>
    <row r="284" spans="3:15" x14ac:dyDescent="0.2">
      <c r="C284" s="474" t="s">
        <v>1025</v>
      </c>
      <c r="D284" s="399" t="s">
        <v>881</v>
      </c>
      <c r="E284" s="21"/>
      <c r="F284" s="21"/>
      <c r="G284" s="21"/>
      <c r="H284" s="466"/>
      <c r="I284" s="21"/>
      <c r="J284" s="467"/>
      <c r="K284" s="355">
        <f>IF(K254=$N$25,K266*$E$47,0)</f>
        <v>0</v>
      </c>
      <c r="L284" s="355">
        <f>IF(L254=$N$25,L266*$E$47,0)</f>
        <v>0</v>
      </c>
      <c r="M284" s="355">
        <f>IF(M254=$N$25,M266*$E$47,0)</f>
        <v>0</v>
      </c>
      <c r="N284" s="355">
        <f>IF(N254=$N$25,N266*$E$47,0)</f>
        <v>0</v>
      </c>
      <c r="O284" s="355">
        <f>IF(O254=$N$25,O266*$E$47,0)</f>
        <v>52090.075479948588</v>
      </c>
    </row>
    <row r="285" spans="3:15" x14ac:dyDescent="0.2">
      <c r="C285" s="405" t="s">
        <v>1026</v>
      </c>
      <c r="D285" s="53" t="s">
        <v>881</v>
      </c>
      <c r="H285" s="138"/>
      <c r="J285" s="492">
        <f>SUM(J283:J284)</f>
        <v>-40991.723125000004</v>
      </c>
      <c r="K285" s="486">
        <f>SUM(K283:K284)</f>
        <v>0</v>
      </c>
      <c r="L285" s="486">
        <f>SUM(L283:L284)</f>
        <v>0</v>
      </c>
      <c r="M285" s="486">
        <f>SUM(M283:M284)</f>
        <v>0</v>
      </c>
      <c r="N285" s="486">
        <f>SUM(N283:N284)</f>
        <v>0</v>
      </c>
      <c r="O285" s="486">
        <f>SUM(O283:O284)</f>
        <v>52090.075479948588</v>
      </c>
    </row>
    <row r="286" spans="3:15" x14ac:dyDescent="0.2">
      <c r="C286" s="5"/>
      <c r="D286" s="5"/>
      <c r="H286" s="138"/>
      <c r="J286" s="243"/>
    </row>
    <row r="287" spans="3:15" x14ac:dyDescent="0.2">
      <c r="C287" s="410" t="s">
        <v>1029</v>
      </c>
      <c r="D287" s="53" t="s">
        <v>909</v>
      </c>
      <c r="H287" s="138"/>
      <c r="J287" s="490">
        <f>-SUMIF(J285:O285,"&gt;0",J285:O285)/SUMIF(J285:O285,"&lt;=0",J285:O285)</f>
        <v>1.270746177737035</v>
      </c>
    </row>
    <row r="288" spans="3:15" x14ac:dyDescent="0.2">
      <c r="C288" s="410" t="s">
        <v>1030</v>
      </c>
      <c r="D288" s="53" t="s">
        <v>692</v>
      </c>
      <c r="H288" s="138"/>
      <c r="J288" s="491">
        <f>IRR(J285:O285)</f>
        <v>4.9087620836651302E-2</v>
      </c>
    </row>
    <row r="291" spans="3:15" x14ac:dyDescent="0.2">
      <c r="C291" s="1"/>
      <c r="D291" s="200" t="s">
        <v>1041</v>
      </c>
      <c r="E291" s="508"/>
      <c r="F291" s="508"/>
      <c r="G291" s="508"/>
      <c r="H291" s="508"/>
      <c r="I291" s="508"/>
      <c r="J291" s="508"/>
      <c r="K291" s="508"/>
    </row>
    <row r="292" spans="3:15" x14ac:dyDescent="0.2">
      <c r="C292" s="516"/>
      <c r="D292" s="511">
        <f>O270</f>
        <v>4.9087620836609114E-2</v>
      </c>
      <c r="E292" s="510">
        <f t="shared" ref="E292:I292" si="114">F292-0.05</f>
        <v>0.10000000000000007</v>
      </c>
      <c r="F292" s="510">
        <f t="shared" si="114"/>
        <v>0.15000000000000008</v>
      </c>
      <c r="G292" s="510">
        <f t="shared" si="114"/>
        <v>0.20000000000000007</v>
      </c>
      <c r="H292" s="515">
        <f t="shared" si="114"/>
        <v>0.25000000000000006</v>
      </c>
      <c r="I292" s="510">
        <f t="shared" si="114"/>
        <v>0.30000000000000004</v>
      </c>
      <c r="J292" s="510">
        <f>K292-0.05</f>
        <v>0.35000000000000003</v>
      </c>
      <c r="K292" s="512">
        <v>0.4</v>
      </c>
    </row>
    <row r="293" spans="3:15" x14ac:dyDescent="0.2">
      <c r="C293" s="83" t="s">
        <v>1042</v>
      </c>
      <c r="D293" s="513" t="s">
        <v>922</v>
      </c>
      <c r="E293" s="64">
        <f t="dataTable" ref="E293:K295" dt2D="1" dtr="1" r1="E7" r2="N20" ca="1"/>
        <v>0.14162319771580512</v>
      </c>
      <c r="F293" s="64">
        <v>0.12577871589522127</v>
      </c>
      <c r="G293" s="64">
        <v>0.11116838547885544</v>
      </c>
      <c r="H293" s="517">
        <v>9.7626669528150689E-2</v>
      </c>
      <c r="I293" s="64">
        <v>8.5018477902790934E-2</v>
      </c>
      <c r="J293" s="64">
        <v>7.3232215389350541E-2</v>
      </c>
      <c r="K293" s="64">
        <v>6.2174694069970782E-2</v>
      </c>
    </row>
    <row r="294" spans="3:15" x14ac:dyDescent="0.2">
      <c r="C294" s="516"/>
      <c r="D294" s="519" t="s">
        <v>923</v>
      </c>
      <c r="E294" s="518">
        <v>9.1138542486771668E-2</v>
      </c>
      <c r="F294" s="517">
        <v>7.5994732484696126E-2</v>
      </c>
      <c r="G294" s="517">
        <v>6.2030497465943357E-2</v>
      </c>
      <c r="H294" s="517">
        <v>4.9087620836609114E-2</v>
      </c>
      <c r="I294" s="517">
        <v>3.7036986388206961E-2</v>
      </c>
      <c r="J294" s="517">
        <v>2.5771933850720519E-2</v>
      </c>
      <c r="K294" s="517">
        <v>1.520339624559397E-2</v>
      </c>
    </row>
    <row r="295" spans="3:15" x14ac:dyDescent="0.2">
      <c r="C295" s="516"/>
      <c r="D295" s="514" t="s">
        <v>917</v>
      </c>
      <c r="E295" s="64">
        <v>4.2727148876523735E-2</v>
      </c>
      <c r="F295" s="64">
        <v>2.8255236088433833E-2</v>
      </c>
      <c r="G295" s="64">
        <v>1.4910563161601997E-2</v>
      </c>
      <c r="H295" s="517">
        <v>2.5419332209821732E-3</v>
      </c>
      <c r="I295" s="64">
        <v>-8.9740413425209997E-3</v>
      </c>
      <c r="J295" s="64">
        <v>-1.973928851964557E-2</v>
      </c>
      <c r="K295" s="64">
        <v>-2.9838923584934784E-2</v>
      </c>
    </row>
    <row r="296" spans="3:15" x14ac:dyDescent="0.2">
      <c r="D296" s="509"/>
    </row>
    <row r="297" spans="3:15" x14ac:dyDescent="0.2">
      <c r="C297" s="1"/>
      <c r="D297" s="200" t="s">
        <v>1041</v>
      </c>
      <c r="E297" s="508"/>
      <c r="F297" s="508"/>
      <c r="G297" s="508"/>
      <c r="H297" s="508"/>
      <c r="I297" s="508"/>
      <c r="J297" s="508"/>
      <c r="K297" s="508"/>
    </row>
    <row r="298" spans="3:15" x14ac:dyDescent="0.2">
      <c r="C298" s="516"/>
      <c r="D298" s="520">
        <f>O269</f>
        <v>1.270746177737035</v>
      </c>
      <c r="E298" s="510">
        <f t="shared" ref="E298:I298" si="115">F298-0.05</f>
        <v>0.10000000000000007</v>
      </c>
      <c r="F298" s="510">
        <f t="shared" si="115"/>
        <v>0.15000000000000008</v>
      </c>
      <c r="G298" s="510">
        <f t="shared" si="115"/>
        <v>0.20000000000000007</v>
      </c>
      <c r="H298" s="515">
        <f t="shared" si="115"/>
        <v>0.25000000000000006</v>
      </c>
      <c r="I298" s="510">
        <f t="shared" si="115"/>
        <v>0.30000000000000004</v>
      </c>
      <c r="J298" s="510">
        <f>K298-0.05</f>
        <v>0.35000000000000003</v>
      </c>
      <c r="K298" s="512">
        <v>0.4</v>
      </c>
    </row>
    <row r="299" spans="3:15" x14ac:dyDescent="0.2">
      <c r="C299" s="83" t="s">
        <v>1042</v>
      </c>
      <c r="D299" s="513" t="s">
        <v>922</v>
      </c>
      <c r="E299" s="472">
        <f t="dataTable" ref="E299:K301" dt2D="1" dtr="1" r1="E7" r2="N20"/>
        <v>1.9391612546783308</v>
      </c>
      <c r="F299" s="472">
        <v>1.8082778722138733</v>
      </c>
      <c r="G299" s="472">
        <v>1.693945301744449</v>
      </c>
      <c r="H299" s="521">
        <v>1.5932108439035009</v>
      </c>
      <c r="I299" s="472">
        <v>1.503784733351045</v>
      </c>
      <c r="J299" s="472">
        <v>1.4238639759615064</v>
      </c>
      <c r="K299" s="472">
        <v>1.3520095257219555</v>
      </c>
    </row>
    <row r="300" spans="3:15" x14ac:dyDescent="0.2">
      <c r="C300" s="516"/>
      <c r="D300" s="519" t="s">
        <v>923</v>
      </c>
      <c r="E300" s="521">
        <v>1.5466764878155042</v>
      </c>
      <c r="F300" s="521">
        <v>1.4422838026712661</v>
      </c>
      <c r="G300" s="521">
        <v>1.3510920577300227</v>
      </c>
      <c r="H300" s="521">
        <v>1.270746177737035</v>
      </c>
      <c r="I300" s="521">
        <v>1.199419844120073</v>
      </c>
      <c r="J300" s="521">
        <v>1.1356749873967928</v>
      </c>
      <c r="K300" s="521">
        <v>1.0783638233755946</v>
      </c>
    </row>
    <row r="301" spans="3:15" x14ac:dyDescent="0.2">
      <c r="C301" s="516"/>
      <c r="D301" s="514" t="s">
        <v>917</v>
      </c>
      <c r="E301" s="472">
        <v>1.2326886743252425</v>
      </c>
      <c r="F301" s="472">
        <v>1.1494885470371803</v>
      </c>
      <c r="G301" s="472">
        <v>1.0768094625184816</v>
      </c>
      <c r="H301" s="521">
        <v>1.0127744448038623</v>
      </c>
      <c r="I301" s="472">
        <v>0.95592793273529519</v>
      </c>
      <c r="J301" s="472">
        <v>0.90512379654502162</v>
      </c>
      <c r="K301" s="472">
        <v>0.85944726149850548</v>
      </c>
    </row>
    <row r="304" spans="3:15" x14ac:dyDescent="0.2">
      <c r="C304" s="1"/>
      <c r="D304" s="200" t="s">
        <v>1043</v>
      </c>
      <c r="E304" s="508"/>
      <c r="F304" s="508"/>
      <c r="G304" s="508"/>
      <c r="H304" s="508"/>
      <c r="I304" s="508"/>
      <c r="J304" s="508"/>
      <c r="K304" s="508"/>
      <c r="L304" s="508"/>
      <c r="M304" s="508"/>
      <c r="N304" s="508"/>
      <c r="O304" s="508"/>
    </row>
    <row r="305" spans="3:15" x14ac:dyDescent="0.2">
      <c r="C305" s="516"/>
      <c r="D305" s="520">
        <f>O270</f>
        <v>4.9087620836609114E-2</v>
      </c>
      <c r="E305" s="522">
        <v>18</v>
      </c>
      <c r="F305" s="522">
        <f>E305+1.5</f>
        <v>19.5</v>
      </c>
      <c r="G305" s="522">
        <f t="shared" ref="G305:O305" si="116">F305+1.5</f>
        <v>21</v>
      </c>
      <c r="H305" s="522">
        <f t="shared" si="116"/>
        <v>22.5</v>
      </c>
      <c r="I305" s="522">
        <f t="shared" si="116"/>
        <v>24</v>
      </c>
      <c r="J305" s="522">
        <f t="shared" si="116"/>
        <v>25.5</v>
      </c>
      <c r="K305" s="522">
        <f t="shared" si="116"/>
        <v>27</v>
      </c>
      <c r="L305" s="522">
        <f t="shared" si="116"/>
        <v>28.5</v>
      </c>
      <c r="M305" s="522">
        <f t="shared" si="116"/>
        <v>30</v>
      </c>
      <c r="N305" s="524">
        <f t="shared" si="116"/>
        <v>31.5</v>
      </c>
      <c r="O305" s="522">
        <f t="shared" si="116"/>
        <v>33</v>
      </c>
    </row>
    <row r="306" spans="3:15" x14ac:dyDescent="0.2">
      <c r="C306" s="83" t="s">
        <v>1042</v>
      </c>
      <c r="D306" s="513" t="s">
        <v>922</v>
      </c>
      <c r="E306" s="62">
        <f t="dataTable" ref="E306:O308" dt2D="1" dtr="1" r1="E6" r2="N20" ca="1"/>
        <v>0.34854862666289699</v>
      </c>
      <c r="F306" s="62">
        <v>0.30094043875719634</v>
      </c>
      <c r="G306" s="62">
        <v>0.2619164439589563</v>
      </c>
      <c r="H306" s="62">
        <v>0.22900689154948672</v>
      </c>
      <c r="I306" s="62">
        <v>0.20065685651120013</v>
      </c>
      <c r="J306" s="62">
        <v>0.17582734397460964</v>
      </c>
      <c r="K306" s="525">
        <v>0.15379159615627502</v>
      </c>
      <c r="L306" s="62">
        <v>0.13402245486402964</v>
      </c>
      <c r="M306" s="62">
        <v>0.116126071578462</v>
      </c>
      <c r="N306" s="523">
        <v>9.9800886703165226E-2</v>
      </c>
      <c r="O306" s="62">
        <v>8.4811174339184392E-2</v>
      </c>
    </row>
    <row r="307" spans="3:15" x14ac:dyDescent="0.2">
      <c r="C307" s="516"/>
      <c r="D307" s="519" t="s">
        <v>923</v>
      </c>
      <c r="E307" s="523">
        <v>0.28891335242102656</v>
      </c>
      <c r="F307" s="523">
        <v>0.24341048521773234</v>
      </c>
      <c r="G307" s="523">
        <v>0.20611220248192286</v>
      </c>
      <c r="H307" s="523">
        <v>0.17465797036592501</v>
      </c>
      <c r="I307" s="523">
        <v>0.14756162546594553</v>
      </c>
      <c r="J307" s="523">
        <v>0.12383011915629827</v>
      </c>
      <c r="K307" s="523">
        <v>0.10276883220521671</v>
      </c>
      <c r="L307" s="523">
        <v>8.3873918315068519E-2</v>
      </c>
      <c r="M307" s="523">
        <v>6.6768945664661628E-2</v>
      </c>
      <c r="N307" s="523">
        <v>5.1165690171694145E-2</v>
      </c>
      <c r="O307" s="523">
        <v>3.6838850165415993E-2</v>
      </c>
    </row>
    <row r="308" spans="3:15" x14ac:dyDescent="0.2">
      <c r="C308" s="516"/>
      <c r="D308" s="514" t="s">
        <v>917</v>
      </c>
      <c r="E308" s="62">
        <v>0.23172712977018928</v>
      </c>
      <c r="F308" s="62">
        <v>0.18824312371861751</v>
      </c>
      <c r="G308" s="62">
        <v>0.15259968294485105</v>
      </c>
      <c r="H308" s="62">
        <v>0.12254100524507328</v>
      </c>
      <c r="I308" s="62">
        <v>9.6646864984811343E-2</v>
      </c>
      <c r="J308" s="62">
        <v>7.3968272900246657E-2</v>
      </c>
      <c r="K308" s="525">
        <v>5.3841428472113373E-2</v>
      </c>
      <c r="L308" s="62">
        <v>3.5784839943915125E-2</v>
      </c>
      <c r="M308" s="62">
        <v>1.9438776938276225E-2</v>
      </c>
      <c r="N308" s="523">
        <v>4.5278032352542574E-3</v>
      </c>
      <c r="O308" s="62">
        <v>-9.1633867011856607E-3</v>
      </c>
    </row>
  </sheetData>
  <dataValidations disablePrompts="1" count="2">
    <dataValidation type="list" allowBlank="1" showInputMessage="1" showErrorMessage="1" sqref="N20" xr:uid="{D837CEA3-546C-9640-9358-D3D867C3ED16}">
      <formula1>$G$28:$G$30</formula1>
    </dataValidation>
    <dataValidation type="list" allowBlank="1" showInputMessage="1" showErrorMessage="1" sqref="N25" xr:uid="{0CADFDE3-BA46-414F-8AA2-6564C28F5DFE}">
      <formula1>$M$60:$O$60</formula1>
    </dataValidation>
  </dataValidations>
  <pageMargins left="0.7" right="0.7" top="0.75" bottom="0.75" header="0.3" footer="0.3"/>
  <ignoredErrors>
    <ignoredError sqref="K195:O195 K197:O197" formula="1"/>
  </ignoredErrors>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1B849D-0739-0C4A-B0DD-04E0B30A9A24}">
  <dimension ref="A1:N88"/>
  <sheetViews>
    <sheetView workbookViewId="0"/>
  </sheetViews>
  <sheetFormatPr baseColWidth="10" defaultRowHeight="16" x14ac:dyDescent="0.2"/>
  <cols>
    <col min="1" max="1" width="50.83203125" bestFit="1" customWidth="1"/>
    <col min="2" max="3" width="17.83203125" bestFit="1" customWidth="1"/>
    <col min="4" max="4" width="13.6640625" bestFit="1" customWidth="1"/>
    <col min="6" max="6" width="56.33203125" bestFit="1" customWidth="1"/>
    <col min="7" max="8" width="13.6640625" bestFit="1" customWidth="1"/>
    <col min="9" max="9" width="17.83203125" bestFit="1" customWidth="1"/>
    <col min="11" max="11" width="39.83203125" bestFit="1" customWidth="1"/>
    <col min="12" max="14" width="13.33203125" bestFit="1" customWidth="1"/>
  </cols>
  <sheetData>
    <row r="1" spans="1:14" ht="27" x14ac:dyDescent="0.35">
      <c r="A1" s="119" t="s">
        <v>6</v>
      </c>
      <c r="F1" s="119" t="s">
        <v>7</v>
      </c>
      <c r="K1" s="119" t="s">
        <v>822</v>
      </c>
    </row>
    <row r="3" spans="1:14" x14ac:dyDescent="0.2">
      <c r="A3" t="s">
        <v>81</v>
      </c>
      <c r="B3" t="s">
        <v>82</v>
      </c>
      <c r="C3" t="s">
        <v>83</v>
      </c>
      <c r="D3" t="s">
        <v>84</v>
      </c>
      <c r="F3" t="s">
        <v>81</v>
      </c>
      <c r="G3" t="s">
        <v>82</v>
      </c>
      <c r="H3" t="s">
        <v>83</v>
      </c>
      <c r="I3" t="s">
        <v>84</v>
      </c>
      <c r="K3" t="s">
        <v>81</v>
      </c>
      <c r="L3" t="s">
        <v>82</v>
      </c>
      <c r="M3" t="s">
        <v>83</v>
      </c>
      <c r="N3" t="s">
        <v>84</v>
      </c>
    </row>
    <row r="4" spans="1:14" x14ac:dyDescent="0.2">
      <c r="A4" t="s">
        <v>47</v>
      </c>
      <c r="B4" t="s">
        <v>85</v>
      </c>
      <c r="C4" t="s">
        <v>86</v>
      </c>
      <c r="D4" t="s">
        <v>87</v>
      </c>
      <c r="F4" t="s">
        <v>47</v>
      </c>
      <c r="G4" t="s">
        <v>85</v>
      </c>
      <c r="H4" t="s">
        <v>86</v>
      </c>
      <c r="I4" t="s">
        <v>87</v>
      </c>
      <c r="K4" t="s">
        <v>47</v>
      </c>
      <c r="L4" t="s">
        <v>85</v>
      </c>
      <c r="M4" t="s">
        <v>86</v>
      </c>
      <c r="N4" t="s">
        <v>87</v>
      </c>
    </row>
    <row r="5" spans="1:14" x14ac:dyDescent="0.2">
      <c r="A5" t="s">
        <v>88</v>
      </c>
      <c r="B5" t="s">
        <v>89</v>
      </c>
      <c r="C5" t="s">
        <v>90</v>
      </c>
      <c r="D5" t="s">
        <v>91</v>
      </c>
      <c r="F5" t="s">
        <v>254</v>
      </c>
      <c r="G5" t="s">
        <v>255</v>
      </c>
      <c r="H5" t="s">
        <v>256</v>
      </c>
      <c r="I5" t="s">
        <v>257</v>
      </c>
      <c r="K5" t="s">
        <v>529</v>
      </c>
      <c r="L5" t="s">
        <v>530</v>
      </c>
      <c r="M5" t="s">
        <v>531</v>
      </c>
      <c r="N5" t="s">
        <v>532</v>
      </c>
    </row>
    <row r="6" spans="1:14" x14ac:dyDescent="0.2">
      <c r="A6" t="s">
        <v>92</v>
      </c>
      <c r="B6" t="s">
        <v>93</v>
      </c>
      <c r="C6" t="s">
        <v>94</v>
      </c>
      <c r="D6" t="s">
        <v>95</v>
      </c>
      <c r="F6" t="s">
        <v>258</v>
      </c>
      <c r="G6" t="s">
        <v>259</v>
      </c>
      <c r="H6" t="s">
        <v>260</v>
      </c>
      <c r="I6" t="s">
        <v>261</v>
      </c>
      <c r="K6" t="s">
        <v>533</v>
      </c>
      <c r="L6" t="s">
        <v>534</v>
      </c>
      <c r="M6" t="s">
        <v>535</v>
      </c>
      <c r="N6" t="s">
        <v>536</v>
      </c>
    </row>
    <row r="7" spans="1:14" x14ac:dyDescent="0.2">
      <c r="A7" t="s">
        <v>96</v>
      </c>
      <c r="B7" t="s">
        <v>97</v>
      </c>
      <c r="C7" t="s">
        <v>98</v>
      </c>
      <c r="D7" t="s">
        <v>99</v>
      </c>
      <c r="F7" t="s">
        <v>262</v>
      </c>
      <c r="G7" t="s">
        <v>263</v>
      </c>
      <c r="H7" t="s">
        <v>263</v>
      </c>
      <c r="I7" t="s">
        <v>263</v>
      </c>
      <c r="K7" t="s">
        <v>537</v>
      </c>
      <c r="L7" t="s">
        <v>538</v>
      </c>
      <c r="M7" t="s">
        <v>539</v>
      </c>
      <c r="N7" t="s">
        <v>540</v>
      </c>
    </row>
    <row r="8" spans="1:14" x14ac:dyDescent="0.2">
      <c r="A8" t="s">
        <v>100</v>
      </c>
      <c r="B8" t="s">
        <v>101</v>
      </c>
      <c r="C8" t="s">
        <v>102</v>
      </c>
      <c r="D8" t="s">
        <v>103</v>
      </c>
      <c r="F8" t="s">
        <v>264</v>
      </c>
      <c r="G8" t="s">
        <v>265</v>
      </c>
      <c r="H8" t="s">
        <v>266</v>
      </c>
      <c r="I8" t="s">
        <v>267</v>
      </c>
      <c r="K8" t="s">
        <v>541</v>
      </c>
      <c r="L8" t="s">
        <v>542</v>
      </c>
      <c r="M8" t="s">
        <v>373</v>
      </c>
      <c r="N8" t="s">
        <v>440</v>
      </c>
    </row>
    <row r="9" spans="1:14" x14ac:dyDescent="0.2">
      <c r="A9" t="s">
        <v>104</v>
      </c>
      <c r="B9" t="s">
        <v>101</v>
      </c>
      <c r="C9" t="s">
        <v>102</v>
      </c>
      <c r="D9" t="s">
        <v>103</v>
      </c>
      <c r="F9" t="s">
        <v>268</v>
      </c>
      <c r="G9" t="s">
        <v>269</v>
      </c>
      <c r="H9" t="s">
        <v>270</v>
      </c>
      <c r="I9" t="s">
        <v>271</v>
      </c>
      <c r="K9" t="s">
        <v>543</v>
      </c>
      <c r="L9" t="s">
        <v>47</v>
      </c>
      <c r="M9" t="s">
        <v>172</v>
      </c>
      <c r="N9" t="s">
        <v>544</v>
      </c>
    </row>
    <row r="10" spans="1:14" x14ac:dyDescent="0.2">
      <c r="A10" t="s">
        <v>105</v>
      </c>
      <c r="B10" t="s">
        <v>106</v>
      </c>
      <c r="C10" t="s">
        <v>107</v>
      </c>
      <c r="D10" t="s">
        <v>108</v>
      </c>
      <c r="F10" t="s">
        <v>272</v>
      </c>
      <c r="G10" t="s">
        <v>273</v>
      </c>
      <c r="H10" t="s">
        <v>274</v>
      </c>
      <c r="I10" t="s">
        <v>275</v>
      </c>
      <c r="K10" t="s">
        <v>545</v>
      </c>
      <c r="L10" t="s">
        <v>546</v>
      </c>
      <c r="M10" t="s">
        <v>547</v>
      </c>
      <c r="N10" t="s">
        <v>548</v>
      </c>
    </row>
    <row r="11" spans="1:14" x14ac:dyDescent="0.2">
      <c r="A11" t="s">
        <v>109</v>
      </c>
      <c r="B11" t="s">
        <v>110</v>
      </c>
      <c r="C11" t="s">
        <v>111</v>
      </c>
      <c r="D11" t="s">
        <v>112</v>
      </c>
      <c r="F11" t="s">
        <v>276</v>
      </c>
      <c r="G11" t="s">
        <v>277</v>
      </c>
      <c r="H11" t="s">
        <v>278</v>
      </c>
      <c r="I11" t="s">
        <v>279</v>
      </c>
      <c r="K11" t="s">
        <v>549</v>
      </c>
      <c r="L11" t="s">
        <v>550</v>
      </c>
      <c r="M11" t="s">
        <v>551</v>
      </c>
      <c r="N11" t="s">
        <v>552</v>
      </c>
    </row>
    <row r="12" spans="1:14" x14ac:dyDescent="0.2">
      <c r="A12" t="s">
        <v>113</v>
      </c>
      <c r="B12" t="s">
        <v>114</v>
      </c>
      <c r="C12" t="s">
        <v>115</v>
      </c>
      <c r="D12" t="s">
        <v>116</v>
      </c>
      <c r="F12" t="s">
        <v>280</v>
      </c>
      <c r="G12" t="s">
        <v>281</v>
      </c>
      <c r="H12" t="s">
        <v>282</v>
      </c>
      <c r="I12" t="s">
        <v>283</v>
      </c>
      <c r="K12" t="s">
        <v>553</v>
      </c>
      <c r="L12" t="s">
        <v>47</v>
      </c>
      <c r="M12" t="s">
        <v>554</v>
      </c>
      <c r="N12" t="s">
        <v>47</v>
      </c>
    </row>
    <row r="13" spans="1:14" x14ac:dyDescent="0.2">
      <c r="A13" t="s">
        <v>117</v>
      </c>
      <c r="B13" t="s">
        <v>118</v>
      </c>
      <c r="C13" t="s">
        <v>119</v>
      </c>
      <c r="D13" t="s">
        <v>120</v>
      </c>
      <c r="F13" t="s">
        <v>284</v>
      </c>
      <c r="G13" t="s">
        <v>273</v>
      </c>
      <c r="H13" t="s">
        <v>274</v>
      </c>
      <c r="I13" t="s">
        <v>275</v>
      </c>
      <c r="K13" t="s">
        <v>555</v>
      </c>
      <c r="L13" t="s">
        <v>551</v>
      </c>
      <c r="M13" t="s">
        <v>552</v>
      </c>
      <c r="N13" t="s">
        <v>556</v>
      </c>
    </row>
    <row r="14" spans="1:14" x14ac:dyDescent="0.2">
      <c r="A14" t="s">
        <v>121</v>
      </c>
      <c r="B14" t="s">
        <v>122</v>
      </c>
      <c r="C14" t="s">
        <v>123</v>
      </c>
      <c r="D14" t="s">
        <v>124</v>
      </c>
      <c r="F14" t="s">
        <v>285</v>
      </c>
      <c r="G14" t="s">
        <v>286</v>
      </c>
      <c r="H14" t="s">
        <v>287</v>
      </c>
      <c r="I14" t="s">
        <v>288</v>
      </c>
      <c r="K14" t="s">
        <v>557</v>
      </c>
      <c r="L14" t="s">
        <v>487</v>
      </c>
      <c r="M14" t="s">
        <v>558</v>
      </c>
      <c r="N14" t="s">
        <v>559</v>
      </c>
    </row>
    <row r="15" spans="1:14" x14ac:dyDescent="0.2">
      <c r="A15" t="s">
        <v>125</v>
      </c>
      <c r="B15" t="s">
        <v>126</v>
      </c>
      <c r="C15" t="s">
        <v>127</v>
      </c>
      <c r="D15" t="s">
        <v>128</v>
      </c>
      <c r="F15" t="s">
        <v>289</v>
      </c>
      <c r="G15" t="s">
        <v>290</v>
      </c>
      <c r="H15" t="s">
        <v>291</v>
      </c>
      <c r="I15" t="s">
        <v>292</v>
      </c>
      <c r="K15" t="s">
        <v>560</v>
      </c>
      <c r="L15" t="s">
        <v>561</v>
      </c>
      <c r="M15" t="s">
        <v>562</v>
      </c>
      <c r="N15" t="s">
        <v>563</v>
      </c>
    </row>
    <row r="16" spans="1:14" x14ac:dyDescent="0.2">
      <c r="A16" t="s">
        <v>129</v>
      </c>
      <c r="B16" t="s">
        <v>130</v>
      </c>
      <c r="C16" t="s">
        <v>131</v>
      </c>
      <c r="D16" t="s">
        <v>132</v>
      </c>
      <c r="F16" t="s">
        <v>293</v>
      </c>
      <c r="G16" t="s">
        <v>294</v>
      </c>
      <c r="H16" t="s">
        <v>295</v>
      </c>
      <c r="I16" t="s">
        <v>296</v>
      </c>
      <c r="K16" t="s">
        <v>564</v>
      </c>
      <c r="L16" t="s">
        <v>565</v>
      </c>
      <c r="M16" t="s">
        <v>566</v>
      </c>
      <c r="N16" t="s">
        <v>567</v>
      </c>
    </row>
    <row r="17" spans="1:14" x14ac:dyDescent="0.2">
      <c r="A17" t="s">
        <v>133</v>
      </c>
      <c r="B17" t="s">
        <v>134</v>
      </c>
      <c r="C17" t="s">
        <v>135</v>
      </c>
      <c r="D17" t="s">
        <v>136</v>
      </c>
      <c r="F17" t="s">
        <v>297</v>
      </c>
      <c r="G17" t="s">
        <v>298</v>
      </c>
      <c r="H17" t="s">
        <v>299</v>
      </c>
      <c r="I17" t="s">
        <v>300</v>
      </c>
      <c r="K17" t="s">
        <v>568</v>
      </c>
      <c r="L17" t="s">
        <v>569</v>
      </c>
      <c r="M17" t="s">
        <v>570</v>
      </c>
      <c r="N17" t="s">
        <v>571</v>
      </c>
    </row>
    <row r="18" spans="1:14" x14ac:dyDescent="0.2">
      <c r="A18" t="s">
        <v>137</v>
      </c>
      <c r="B18" t="s">
        <v>138</v>
      </c>
      <c r="C18" t="s">
        <v>139</v>
      </c>
      <c r="D18" t="s">
        <v>140</v>
      </c>
      <c r="F18" t="s">
        <v>301</v>
      </c>
      <c r="G18" t="s">
        <v>302</v>
      </c>
      <c r="H18" t="s">
        <v>201</v>
      </c>
      <c r="I18" t="s">
        <v>303</v>
      </c>
      <c r="K18" t="s">
        <v>572</v>
      </c>
      <c r="L18" t="s">
        <v>573</v>
      </c>
      <c r="M18" t="s">
        <v>574</v>
      </c>
      <c r="N18" t="s">
        <v>575</v>
      </c>
    </row>
    <row r="19" spans="1:14" x14ac:dyDescent="0.2">
      <c r="A19" t="s">
        <v>141</v>
      </c>
      <c r="B19" t="s">
        <v>106</v>
      </c>
      <c r="C19" t="s">
        <v>107</v>
      </c>
      <c r="D19" t="s">
        <v>108</v>
      </c>
      <c r="F19" t="s">
        <v>304</v>
      </c>
      <c r="G19" t="s">
        <v>290</v>
      </c>
      <c r="H19" t="s">
        <v>291</v>
      </c>
      <c r="I19" t="s">
        <v>292</v>
      </c>
      <c r="K19" t="s">
        <v>576</v>
      </c>
      <c r="L19" t="s">
        <v>573</v>
      </c>
      <c r="M19" t="s">
        <v>574</v>
      </c>
      <c r="N19" t="s">
        <v>575</v>
      </c>
    </row>
    <row r="20" spans="1:14" x14ac:dyDescent="0.2">
      <c r="A20" t="s">
        <v>142</v>
      </c>
      <c r="B20" t="s">
        <v>143</v>
      </c>
      <c r="C20" t="s">
        <v>144</v>
      </c>
      <c r="D20" t="s">
        <v>145</v>
      </c>
      <c r="F20" t="s">
        <v>305</v>
      </c>
      <c r="G20" t="s">
        <v>47</v>
      </c>
      <c r="H20" t="s">
        <v>47</v>
      </c>
      <c r="I20" t="s">
        <v>47</v>
      </c>
      <c r="K20" t="s">
        <v>577</v>
      </c>
      <c r="L20" t="s">
        <v>534</v>
      </c>
      <c r="M20" t="s">
        <v>535</v>
      </c>
      <c r="N20" t="s">
        <v>578</v>
      </c>
    </row>
    <row r="21" spans="1:14" x14ac:dyDescent="0.2">
      <c r="A21" t="s">
        <v>146</v>
      </c>
      <c r="B21" t="s">
        <v>47</v>
      </c>
      <c r="C21" t="s">
        <v>147</v>
      </c>
      <c r="D21" t="s">
        <v>148</v>
      </c>
      <c r="F21" t="s">
        <v>306</v>
      </c>
      <c r="G21" t="s">
        <v>172</v>
      </c>
      <c r="H21" t="s">
        <v>172</v>
      </c>
      <c r="I21" t="s">
        <v>307</v>
      </c>
      <c r="K21" t="s">
        <v>579</v>
      </c>
      <c r="L21" t="s">
        <v>534</v>
      </c>
      <c r="M21" t="s">
        <v>535</v>
      </c>
      <c r="N21" t="s">
        <v>536</v>
      </c>
    </row>
    <row r="22" spans="1:14" x14ac:dyDescent="0.2">
      <c r="A22" t="s">
        <v>149</v>
      </c>
      <c r="B22" t="s">
        <v>150</v>
      </c>
      <c r="C22" t="s">
        <v>151</v>
      </c>
      <c r="D22" t="s">
        <v>152</v>
      </c>
      <c r="F22" t="s">
        <v>308</v>
      </c>
      <c r="G22" t="s">
        <v>309</v>
      </c>
      <c r="H22" t="s">
        <v>310</v>
      </c>
      <c r="I22" t="s">
        <v>311</v>
      </c>
      <c r="K22" t="s">
        <v>580</v>
      </c>
      <c r="L22" t="s">
        <v>47</v>
      </c>
      <c r="M22" t="s">
        <v>172</v>
      </c>
      <c r="N22" t="s">
        <v>544</v>
      </c>
    </row>
    <row r="23" spans="1:14" x14ac:dyDescent="0.2">
      <c r="A23" t="s">
        <v>153</v>
      </c>
      <c r="B23" t="s">
        <v>154</v>
      </c>
      <c r="C23" t="s">
        <v>155</v>
      </c>
      <c r="D23" t="s">
        <v>156</v>
      </c>
      <c r="F23" t="s">
        <v>312</v>
      </c>
      <c r="G23" t="s">
        <v>313</v>
      </c>
      <c r="H23" t="s">
        <v>314</v>
      </c>
      <c r="I23" t="s">
        <v>315</v>
      </c>
      <c r="K23" t="s">
        <v>581</v>
      </c>
      <c r="L23" t="s">
        <v>582</v>
      </c>
      <c r="M23" t="s">
        <v>583</v>
      </c>
      <c r="N23" t="s">
        <v>584</v>
      </c>
    </row>
    <row r="24" spans="1:14" x14ac:dyDescent="0.2">
      <c r="A24" t="s">
        <v>157</v>
      </c>
      <c r="B24" t="s">
        <v>158</v>
      </c>
      <c r="C24" t="s">
        <v>159</v>
      </c>
      <c r="D24" t="s">
        <v>160</v>
      </c>
      <c r="F24" t="s">
        <v>316</v>
      </c>
      <c r="G24" t="s">
        <v>317</v>
      </c>
      <c r="H24" t="s">
        <v>317</v>
      </c>
      <c r="I24" t="s">
        <v>317</v>
      </c>
      <c r="K24" t="s">
        <v>585</v>
      </c>
      <c r="L24" t="s">
        <v>582</v>
      </c>
      <c r="M24" t="s">
        <v>583</v>
      </c>
      <c r="N24" t="s">
        <v>584</v>
      </c>
    </row>
    <row r="25" spans="1:14" x14ac:dyDescent="0.2">
      <c r="A25" t="s">
        <v>161</v>
      </c>
      <c r="B25" t="s">
        <v>162</v>
      </c>
      <c r="C25" t="s">
        <v>163</v>
      </c>
      <c r="D25" t="s">
        <v>164</v>
      </c>
      <c r="F25" t="s">
        <v>318</v>
      </c>
      <c r="G25" t="s">
        <v>319</v>
      </c>
      <c r="H25" t="s">
        <v>319</v>
      </c>
      <c r="I25" t="s">
        <v>319</v>
      </c>
      <c r="K25" t="s">
        <v>586</v>
      </c>
      <c r="L25" t="s">
        <v>538</v>
      </c>
      <c r="M25" t="s">
        <v>539</v>
      </c>
      <c r="N25" t="s">
        <v>540</v>
      </c>
    </row>
    <row r="26" spans="1:14" x14ac:dyDescent="0.2">
      <c r="A26" t="s">
        <v>165</v>
      </c>
      <c r="B26" t="s">
        <v>166</v>
      </c>
      <c r="C26" t="s">
        <v>167</v>
      </c>
      <c r="D26" t="s">
        <v>168</v>
      </c>
      <c r="F26" t="s">
        <v>320</v>
      </c>
      <c r="G26" t="s">
        <v>319</v>
      </c>
      <c r="H26" t="s">
        <v>319</v>
      </c>
      <c r="I26" t="s">
        <v>319</v>
      </c>
      <c r="K26" t="s">
        <v>587</v>
      </c>
      <c r="L26" t="s">
        <v>542</v>
      </c>
      <c r="M26" t="s">
        <v>373</v>
      </c>
      <c r="N26" t="s">
        <v>440</v>
      </c>
    </row>
    <row r="27" spans="1:14" x14ac:dyDescent="0.2">
      <c r="A27" t="s">
        <v>169</v>
      </c>
      <c r="B27" t="s">
        <v>106</v>
      </c>
      <c r="C27" t="s">
        <v>107</v>
      </c>
      <c r="D27" t="s">
        <v>108</v>
      </c>
      <c r="F27" t="s">
        <v>321</v>
      </c>
      <c r="G27" t="s">
        <v>322</v>
      </c>
      <c r="H27" t="s">
        <v>323</v>
      </c>
      <c r="I27" t="s">
        <v>324</v>
      </c>
      <c r="K27" t="s">
        <v>588</v>
      </c>
      <c r="L27" t="s">
        <v>589</v>
      </c>
      <c r="M27" t="s">
        <v>590</v>
      </c>
      <c r="N27" t="s">
        <v>591</v>
      </c>
    </row>
    <row r="28" spans="1:14" x14ac:dyDescent="0.2">
      <c r="A28" t="s">
        <v>170</v>
      </c>
      <c r="B28" t="s">
        <v>106</v>
      </c>
      <c r="C28" t="s">
        <v>107</v>
      </c>
      <c r="D28" t="s">
        <v>108</v>
      </c>
      <c r="F28" t="s">
        <v>325</v>
      </c>
      <c r="G28" t="s">
        <v>326</v>
      </c>
      <c r="H28" t="s">
        <v>327</v>
      </c>
      <c r="I28" t="s">
        <v>328</v>
      </c>
      <c r="K28" t="s">
        <v>592</v>
      </c>
      <c r="L28" t="s">
        <v>593</v>
      </c>
      <c r="M28" t="s">
        <v>594</v>
      </c>
      <c r="N28" t="s">
        <v>595</v>
      </c>
    </row>
    <row r="29" spans="1:14" x14ac:dyDescent="0.2">
      <c r="A29" t="s">
        <v>171</v>
      </c>
      <c r="B29" t="s">
        <v>172</v>
      </c>
      <c r="C29" t="s">
        <v>172</v>
      </c>
      <c r="D29" t="s">
        <v>172</v>
      </c>
      <c r="F29" t="s">
        <v>329</v>
      </c>
      <c r="G29" t="s">
        <v>47</v>
      </c>
      <c r="H29" t="s">
        <v>47</v>
      </c>
      <c r="I29" t="s">
        <v>47</v>
      </c>
      <c r="K29" t="s">
        <v>596</v>
      </c>
      <c r="L29" t="s">
        <v>303</v>
      </c>
      <c r="M29" t="s">
        <v>597</v>
      </c>
      <c r="N29" t="s">
        <v>598</v>
      </c>
    </row>
    <row r="30" spans="1:14" x14ac:dyDescent="0.2">
      <c r="A30" t="s">
        <v>173</v>
      </c>
      <c r="B30" t="s">
        <v>106</v>
      </c>
      <c r="C30" t="s">
        <v>107</v>
      </c>
      <c r="D30" t="s">
        <v>108</v>
      </c>
      <c r="F30" t="s">
        <v>330</v>
      </c>
      <c r="G30" t="s">
        <v>331</v>
      </c>
      <c r="H30" t="s">
        <v>332</v>
      </c>
      <c r="I30" t="s">
        <v>333</v>
      </c>
      <c r="K30" t="s">
        <v>599</v>
      </c>
      <c r="L30" t="s">
        <v>600</v>
      </c>
      <c r="M30" t="s">
        <v>601</v>
      </c>
      <c r="N30" t="s">
        <v>204</v>
      </c>
    </row>
    <row r="31" spans="1:14" x14ac:dyDescent="0.2">
      <c r="A31" t="s">
        <v>174</v>
      </c>
      <c r="B31" t="s">
        <v>175</v>
      </c>
      <c r="C31" t="s">
        <v>176</v>
      </c>
      <c r="D31" t="s">
        <v>177</v>
      </c>
      <c r="F31" t="s">
        <v>334</v>
      </c>
      <c r="G31" t="s">
        <v>335</v>
      </c>
      <c r="H31" t="s">
        <v>336</v>
      </c>
      <c r="I31" t="s">
        <v>337</v>
      </c>
      <c r="K31" t="s">
        <v>602</v>
      </c>
      <c r="L31" t="s">
        <v>603</v>
      </c>
      <c r="M31" t="s">
        <v>604</v>
      </c>
      <c r="N31" t="s">
        <v>172</v>
      </c>
    </row>
    <row r="32" spans="1:14" x14ac:dyDescent="0.2">
      <c r="A32" t="s">
        <v>178</v>
      </c>
      <c r="B32" t="s">
        <v>179</v>
      </c>
      <c r="C32" t="s">
        <v>180</v>
      </c>
      <c r="D32" t="s">
        <v>181</v>
      </c>
      <c r="F32" t="s">
        <v>338</v>
      </c>
      <c r="G32" t="s">
        <v>339</v>
      </c>
      <c r="H32" t="s">
        <v>340</v>
      </c>
      <c r="I32" t="s">
        <v>47</v>
      </c>
      <c r="K32" t="s">
        <v>605</v>
      </c>
      <c r="L32" t="s">
        <v>47</v>
      </c>
      <c r="M32" t="s">
        <v>606</v>
      </c>
      <c r="N32" t="s">
        <v>339</v>
      </c>
    </row>
    <row r="33" spans="1:14" x14ac:dyDescent="0.2">
      <c r="A33" t="s">
        <v>182</v>
      </c>
      <c r="B33" t="s">
        <v>179</v>
      </c>
      <c r="C33" t="s">
        <v>180</v>
      </c>
      <c r="D33" t="s">
        <v>181</v>
      </c>
      <c r="F33" t="s">
        <v>341</v>
      </c>
      <c r="G33" t="s">
        <v>342</v>
      </c>
      <c r="H33" t="s">
        <v>343</v>
      </c>
      <c r="I33" t="s">
        <v>344</v>
      </c>
      <c r="K33" t="s">
        <v>607</v>
      </c>
      <c r="L33" t="s">
        <v>603</v>
      </c>
      <c r="M33" t="s">
        <v>608</v>
      </c>
      <c r="N33" t="s">
        <v>609</v>
      </c>
    </row>
    <row r="34" spans="1:14" x14ac:dyDescent="0.2">
      <c r="A34" t="s">
        <v>183</v>
      </c>
      <c r="B34" t="s">
        <v>184</v>
      </c>
      <c r="C34" t="s">
        <v>185</v>
      </c>
      <c r="D34" t="s">
        <v>186</v>
      </c>
      <c r="F34" t="s">
        <v>345</v>
      </c>
      <c r="G34" t="s">
        <v>332</v>
      </c>
      <c r="H34" t="s">
        <v>346</v>
      </c>
      <c r="I34" t="s">
        <v>47</v>
      </c>
      <c r="K34" t="s">
        <v>610</v>
      </c>
      <c r="L34" t="s">
        <v>611</v>
      </c>
      <c r="M34" t="s">
        <v>612</v>
      </c>
      <c r="N34" t="s">
        <v>613</v>
      </c>
    </row>
    <row r="35" spans="1:14" x14ac:dyDescent="0.2">
      <c r="A35" t="s">
        <v>187</v>
      </c>
      <c r="B35" t="s">
        <v>151</v>
      </c>
      <c r="C35" t="s">
        <v>188</v>
      </c>
      <c r="D35" t="s">
        <v>189</v>
      </c>
      <c r="F35" t="s">
        <v>347</v>
      </c>
      <c r="G35" t="s">
        <v>348</v>
      </c>
      <c r="H35" t="s">
        <v>349</v>
      </c>
      <c r="I35" t="s">
        <v>350</v>
      </c>
      <c r="K35" t="s">
        <v>614</v>
      </c>
      <c r="L35" t="s">
        <v>615</v>
      </c>
      <c r="M35" t="s">
        <v>616</v>
      </c>
      <c r="N35" t="s">
        <v>617</v>
      </c>
    </row>
    <row r="36" spans="1:14" x14ac:dyDescent="0.2">
      <c r="A36" t="s">
        <v>190</v>
      </c>
      <c r="B36" t="s">
        <v>191</v>
      </c>
      <c r="C36" t="s">
        <v>192</v>
      </c>
      <c r="D36" t="s">
        <v>193</v>
      </c>
      <c r="F36" t="s">
        <v>351</v>
      </c>
      <c r="G36" t="s">
        <v>352</v>
      </c>
      <c r="H36" t="s">
        <v>353</v>
      </c>
      <c r="I36" t="s">
        <v>354</v>
      </c>
      <c r="K36" t="s">
        <v>618</v>
      </c>
      <c r="L36" t="s">
        <v>619</v>
      </c>
      <c r="M36" t="s">
        <v>620</v>
      </c>
      <c r="N36" t="s">
        <v>621</v>
      </c>
    </row>
    <row r="37" spans="1:14" x14ac:dyDescent="0.2">
      <c r="A37" t="s">
        <v>194</v>
      </c>
      <c r="B37" t="s">
        <v>195</v>
      </c>
      <c r="C37" t="s">
        <v>196</v>
      </c>
      <c r="D37" t="s">
        <v>197</v>
      </c>
      <c r="F37" t="s">
        <v>355</v>
      </c>
      <c r="G37" t="s">
        <v>356</v>
      </c>
      <c r="H37" t="s">
        <v>357</v>
      </c>
      <c r="I37" t="s">
        <v>358</v>
      </c>
      <c r="K37" t="s">
        <v>622</v>
      </c>
      <c r="L37" t="s">
        <v>103</v>
      </c>
      <c r="M37" t="s">
        <v>623</v>
      </c>
      <c r="N37" t="s">
        <v>624</v>
      </c>
    </row>
    <row r="38" spans="1:14" x14ac:dyDescent="0.2">
      <c r="A38" t="s">
        <v>198</v>
      </c>
      <c r="B38" t="s">
        <v>199</v>
      </c>
      <c r="C38" t="s">
        <v>200</v>
      </c>
      <c r="D38" t="s">
        <v>201</v>
      </c>
      <c r="F38" t="s">
        <v>359</v>
      </c>
      <c r="G38" t="s">
        <v>360</v>
      </c>
      <c r="H38" t="s">
        <v>361</v>
      </c>
      <c r="I38" t="s">
        <v>362</v>
      </c>
      <c r="K38" t="s">
        <v>625</v>
      </c>
      <c r="L38" t="s">
        <v>103</v>
      </c>
      <c r="M38" t="s">
        <v>623</v>
      </c>
      <c r="N38" t="s">
        <v>624</v>
      </c>
    </row>
    <row r="39" spans="1:14" x14ac:dyDescent="0.2">
      <c r="A39" t="s">
        <v>202</v>
      </c>
      <c r="B39" t="s">
        <v>47</v>
      </c>
      <c r="C39" t="s">
        <v>203</v>
      </c>
      <c r="D39" t="s">
        <v>204</v>
      </c>
      <c r="F39" t="s">
        <v>363</v>
      </c>
      <c r="G39" t="s">
        <v>364</v>
      </c>
      <c r="H39" t="s">
        <v>365</v>
      </c>
      <c r="I39" t="s">
        <v>366</v>
      </c>
      <c r="K39" t="s">
        <v>626</v>
      </c>
      <c r="L39" t="s">
        <v>627</v>
      </c>
      <c r="M39" t="s">
        <v>628</v>
      </c>
      <c r="N39" t="s">
        <v>629</v>
      </c>
    </row>
    <row r="40" spans="1:14" x14ac:dyDescent="0.2">
      <c r="A40" t="s">
        <v>205</v>
      </c>
      <c r="B40" t="s">
        <v>206</v>
      </c>
      <c r="C40" t="s">
        <v>207</v>
      </c>
      <c r="D40" t="s">
        <v>208</v>
      </c>
      <c r="F40" t="s">
        <v>367</v>
      </c>
      <c r="G40" t="s">
        <v>368</v>
      </c>
      <c r="H40" t="s">
        <v>369</v>
      </c>
      <c r="I40" t="s">
        <v>370</v>
      </c>
      <c r="K40" t="s">
        <v>630</v>
      </c>
      <c r="L40" t="s">
        <v>631</v>
      </c>
      <c r="M40" t="s">
        <v>632</v>
      </c>
      <c r="N40" t="s">
        <v>633</v>
      </c>
    </row>
    <row r="41" spans="1:14" x14ac:dyDescent="0.2">
      <c r="A41" t="s">
        <v>209</v>
      </c>
      <c r="B41" t="s">
        <v>126</v>
      </c>
      <c r="C41" t="s">
        <v>127</v>
      </c>
      <c r="D41" t="s">
        <v>128</v>
      </c>
      <c r="F41" t="s">
        <v>371</v>
      </c>
      <c r="G41" t="s">
        <v>47</v>
      </c>
      <c r="H41" t="s">
        <v>47</v>
      </c>
      <c r="I41" t="s">
        <v>47</v>
      </c>
      <c r="K41" t="s">
        <v>634</v>
      </c>
      <c r="L41" t="s">
        <v>635</v>
      </c>
      <c r="M41" t="s">
        <v>636</v>
      </c>
      <c r="N41" t="s">
        <v>637</v>
      </c>
    </row>
    <row r="42" spans="1:14" x14ac:dyDescent="0.2">
      <c r="A42" t="s">
        <v>210</v>
      </c>
      <c r="B42" t="s">
        <v>211</v>
      </c>
      <c r="C42" t="s">
        <v>212</v>
      </c>
      <c r="D42" t="s">
        <v>211</v>
      </c>
      <c r="F42" t="s">
        <v>372</v>
      </c>
      <c r="G42" t="s">
        <v>373</v>
      </c>
      <c r="H42" t="s">
        <v>374</v>
      </c>
      <c r="I42" t="s">
        <v>375</v>
      </c>
      <c r="K42" t="s">
        <v>638</v>
      </c>
      <c r="L42" t="s">
        <v>639</v>
      </c>
      <c r="M42" t="s">
        <v>640</v>
      </c>
      <c r="N42" t="s">
        <v>641</v>
      </c>
    </row>
    <row r="43" spans="1:14" x14ac:dyDescent="0.2">
      <c r="A43" t="s">
        <v>213</v>
      </c>
      <c r="B43" t="s">
        <v>130</v>
      </c>
      <c r="C43" t="s">
        <v>131</v>
      </c>
      <c r="D43" t="s">
        <v>132</v>
      </c>
      <c r="F43" t="s">
        <v>376</v>
      </c>
      <c r="G43" t="s">
        <v>377</v>
      </c>
      <c r="H43" t="s">
        <v>378</v>
      </c>
      <c r="I43" t="s">
        <v>379</v>
      </c>
      <c r="K43" t="s">
        <v>642</v>
      </c>
      <c r="L43" t="s">
        <v>643</v>
      </c>
      <c r="M43" t="s">
        <v>644</v>
      </c>
      <c r="N43" t="s">
        <v>645</v>
      </c>
    </row>
    <row r="44" spans="1:14" x14ac:dyDescent="0.2">
      <c r="A44" t="s">
        <v>214</v>
      </c>
      <c r="B44" t="s">
        <v>134</v>
      </c>
      <c r="C44" t="s">
        <v>135</v>
      </c>
      <c r="D44" t="s">
        <v>136</v>
      </c>
      <c r="F44" t="s">
        <v>380</v>
      </c>
      <c r="G44" t="s">
        <v>381</v>
      </c>
      <c r="H44" t="s">
        <v>382</v>
      </c>
      <c r="I44" t="s">
        <v>383</v>
      </c>
      <c r="K44" t="s">
        <v>646</v>
      </c>
      <c r="L44" t="s">
        <v>647</v>
      </c>
      <c r="M44" t="s">
        <v>648</v>
      </c>
      <c r="N44" t="s">
        <v>649</v>
      </c>
    </row>
    <row r="45" spans="1:14" x14ac:dyDescent="0.2">
      <c r="A45" t="s">
        <v>215</v>
      </c>
      <c r="B45" t="s">
        <v>216</v>
      </c>
      <c r="C45" t="s">
        <v>217</v>
      </c>
      <c r="D45" t="s">
        <v>218</v>
      </c>
      <c r="F45" t="s">
        <v>384</v>
      </c>
      <c r="G45" t="s">
        <v>385</v>
      </c>
      <c r="H45" t="s">
        <v>386</v>
      </c>
      <c r="I45" t="s">
        <v>387</v>
      </c>
      <c r="K45" t="s">
        <v>650</v>
      </c>
      <c r="L45" t="s">
        <v>554</v>
      </c>
      <c r="M45" t="s">
        <v>208</v>
      </c>
      <c r="N45" t="s">
        <v>651</v>
      </c>
    </row>
    <row r="46" spans="1:14" x14ac:dyDescent="0.2">
      <c r="A46" t="s">
        <v>219</v>
      </c>
      <c r="B46" t="s">
        <v>220</v>
      </c>
      <c r="C46" t="s">
        <v>221</v>
      </c>
      <c r="D46" t="s">
        <v>222</v>
      </c>
      <c r="F46" t="s">
        <v>388</v>
      </c>
      <c r="G46" t="s">
        <v>389</v>
      </c>
      <c r="H46" t="s">
        <v>390</v>
      </c>
      <c r="I46" t="s">
        <v>391</v>
      </c>
      <c r="K46" t="s">
        <v>652</v>
      </c>
      <c r="L46" t="s">
        <v>653</v>
      </c>
      <c r="M46" t="s">
        <v>397</v>
      </c>
      <c r="N46" t="s">
        <v>654</v>
      </c>
    </row>
    <row r="47" spans="1:14" x14ac:dyDescent="0.2">
      <c r="A47" t="s">
        <v>223</v>
      </c>
      <c r="B47" t="s">
        <v>224</v>
      </c>
      <c r="C47" t="s">
        <v>225</v>
      </c>
      <c r="D47" t="s">
        <v>226</v>
      </c>
      <c r="F47" t="s">
        <v>392</v>
      </c>
      <c r="G47" t="s">
        <v>393</v>
      </c>
      <c r="H47" t="s">
        <v>394</v>
      </c>
      <c r="I47" t="s">
        <v>395</v>
      </c>
      <c r="K47" t="s">
        <v>655</v>
      </c>
      <c r="L47" t="s">
        <v>656</v>
      </c>
      <c r="M47" t="s">
        <v>657</v>
      </c>
      <c r="N47" t="s">
        <v>658</v>
      </c>
    </row>
    <row r="48" spans="1:14" x14ac:dyDescent="0.2">
      <c r="A48" t="s">
        <v>227</v>
      </c>
      <c r="B48" t="s">
        <v>228</v>
      </c>
      <c r="C48" t="s">
        <v>229</v>
      </c>
      <c r="D48" t="s">
        <v>230</v>
      </c>
      <c r="F48" t="s">
        <v>396</v>
      </c>
      <c r="G48" t="s">
        <v>397</v>
      </c>
      <c r="H48" t="s">
        <v>398</v>
      </c>
      <c r="I48" t="s">
        <v>399</v>
      </c>
      <c r="K48" t="s">
        <v>659</v>
      </c>
      <c r="L48" t="s">
        <v>660</v>
      </c>
      <c r="M48" t="s">
        <v>661</v>
      </c>
      <c r="N48" t="s">
        <v>662</v>
      </c>
    </row>
    <row r="49" spans="1:14" x14ac:dyDescent="0.2">
      <c r="A49" t="s">
        <v>231</v>
      </c>
      <c r="B49" t="s">
        <v>232</v>
      </c>
      <c r="C49" t="s">
        <v>233</v>
      </c>
      <c r="D49" t="s">
        <v>234</v>
      </c>
      <c r="F49" t="s">
        <v>400</v>
      </c>
      <c r="G49" t="s">
        <v>401</v>
      </c>
      <c r="H49" t="s">
        <v>402</v>
      </c>
      <c r="I49" t="s">
        <v>403</v>
      </c>
      <c r="K49" t="s">
        <v>663</v>
      </c>
      <c r="L49" t="s">
        <v>664</v>
      </c>
      <c r="M49" t="s">
        <v>665</v>
      </c>
      <c r="N49" t="s">
        <v>666</v>
      </c>
    </row>
    <row r="50" spans="1:14" x14ac:dyDescent="0.2">
      <c r="A50" t="s">
        <v>235</v>
      </c>
      <c r="B50" t="s">
        <v>236</v>
      </c>
      <c r="C50" t="s">
        <v>237</v>
      </c>
      <c r="D50" t="s">
        <v>238</v>
      </c>
      <c r="F50" t="s">
        <v>404</v>
      </c>
      <c r="G50" t="s">
        <v>405</v>
      </c>
      <c r="H50" t="s">
        <v>406</v>
      </c>
      <c r="I50" t="s">
        <v>407</v>
      </c>
      <c r="K50" t="s">
        <v>667</v>
      </c>
      <c r="L50" t="s">
        <v>668</v>
      </c>
      <c r="M50" t="s">
        <v>669</v>
      </c>
      <c r="N50" t="s">
        <v>670</v>
      </c>
    </row>
    <row r="51" spans="1:14" x14ac:dyDescent="0.2">
      <c r="A51" t="s">
        <v>239</v>
      </c>
      <c r="B51" t="s">
        <v>47</v>
      </c>
      <c r="C51" t="s">
        <v>240</v>
      </c>
      <c r="D51" t="s">
        <v>241</v>
      </c>
      <c r="F51" t="s">
        <v>408</v>
      </c>
      <c r="G51" t="s">
        <v>409</v>
      </c>
      <c r="H51" t="s">
        <v>410</v>
      </c>
      <c r="I51" t="s">
        <v>411</v>
      </c>
      <c r="K51" t="s">
        <v>671</v>
      </c>
      <c r="L51" t="s">
        <v>672</v>
      </c>
      <c r="M51" t="s">
        <v>211</v>
      </c>
      <c r="N51" t="s">
        <v>673</v>
      </c>
    </row>
    <row r="52" spans="1:14" x14ac:dyDescent="0.2">
      <c r="A52" t="s">
        <v>242</v>
      </c>
      <c r="B52" t="s">
        <v>47</v>
      </c>
      <c r="C52" t="s">
        <v>240</v>
      </c>
      <c r="D52" t="s">
        <v>241</v>
      </c>
      <c r="F52" t="s">
        <v>412</v>
      </c>
      <c r="G52" t="s">
        <v>413</v>
      </c>
      <c r="H52" t="s">
        <v>414</v>
      </c>
      <c r="I52" t="s">
        <v>186</v>
      </c>
      <c r="K52" t="s">
        <v>674</v>
      </c>
      <c r="L52" t="s">
        <v>110</v>
      </c>
      <c r="M52" t="s">
        <v>111</v>
      </c>
      <c r="N52" t="s">
        <v>112</v>
      </c>
    </row>
    <row r="53" spans="1:14" x14ac:dyDescent="0.2">
      <c r="A53" t="s">
        <v>243</v>
      </c>
      <c r="B53" t="s">
        <v>47</v>
      </c>
      <c r="C53" t="s">
        <v>147</v>
      </c>
      <c r="D53" t="s">
        <v>148</v>
      </c>
      <c r="F53" t="s">
        <v>415</v>
      </c>
      <c r="G53" t="s">
        <v>47</v>
      </c>
      <c r="H53" t="s">
        <v>47</v>
      </c>
      <c r="I53" t="s">
        <v>47</v>
      </c>
      <c r="K53" t="s">
        <v>675</v>
      </c>
      <c r="L53" t="s">
        <v>676</v>
      </c>
      <c r="M53" t="s">
        <v>677</v>
      </c>
      <c r="N53" t="s">
        <v>678</v>
      </c>
    </row>
    <row r="54" spans="1:14" x14ac:dyDescent="0.2">
      <c r="A54" t="s">
        <v>244</v>
      </c>
      <c r="B54" t="s">
        <v>245</v>
      </c>
      <c r="C54" t="s">
        <v>246</v>
      </c>
      <c r="D54" t="s">
        <v>247</v>
      </c>
      <c r="F54" t="s">
        <v>416</v>
      </c>
      <c r="G54" t="s">
        <v>417</v>
      </c>
      <c r="H54" t="s">
        <v>418</v>
      </c>
      <c r="I54" t="s">
        <v>419</v>
      </c>
      <c r="K54" t="s">
        <v>679</v>
      </c>
      <c r="L54" t="s">
        <v>236</v>
      </c>
      <c r="M54" t="s">
        <v>237</v>
      </c>
      <c r="N54" t="s">
        <v>238</v>
      </c>
    </row>
    <row r="55" spans="1:14" x14ac:dyDescent="0.2">
      <c r="A55" t="s">
        <v>248</v>
      </c>
      <c r="B55" t="s">
        <v>114</v>
      </c>
      <c r="C55" t="s">
        <v>115</v>
      </c>
      <c r="D55" t="s">
        <v>116</v>
      </c>
      <c r="F55" t="s">
        <v>420</v>
      </c>
      <c r="G55" t="s">
        <v>421</v>
      </c>
      <c r="H55" t="s">
        <v>422</v>
      </c>
      <c r="I55" t="s">
        <v>379</v>
      </c>
      <c r="K55" t="s">
        <v>680</v>
      </c>
      <c r="L55" t="s">
        <v>487</v>
      </c>
      <c r="M55" t="s">
        <v>681</v>
      </c>
      <c r="N55" t="s">
        <v>682</v>
      </c>
    </row>
    <row r="56" spans="1:14" x14ac:dyDescent="0.2">
      <c r="A56" t="s">
        <v>249</v>
      </c>
      <c r="B56" t="s">
        <v>250</v>
      </c>
      <c r="C56" t="s">
        <v>251</v>
      </c>
      <c r="D56" t="s">
        <v>252</v>
      </c>
      <c r="F56" t="s">
        <v>423</v>
      </c>
      <c r="G56" t="s">
        <v>424</v>
      </c>
      <c r="H56" t="s">
        <v>425</v>
      </c>
      <c r="I56" t="s">
        <v>426</v>
      </c>
      <c r="K56" t="s">
        <v>683</v>
      </c>
      <c r="L56" t="s">
        <v>172</v>
      </c>
      <c r="M56" t="s">
        <v>177</v>
      </c>
      <c r="N56" t="s">
        <v>609</v>
      </c>
    </row>
    <row r="57" spans="1:14" x14ac:dyDescent="0.2">
      <c r="A57" t="s">
        <v>253</v>
      </c>
      <c r="B57" t="s">
        <v>250</v>
      </c>
      <c r="C57" t="s">
        <v>251</v>
      </c>
      <c r="D57" t="s">
        <v>252</v>
      </c>
      <c r="F57" t="s">
        <v>427</v>
      </c>
      <c r="G57" t="s">
        <v>428</v>
      </c>
      <c r="H57" t="s">
        <v>429</v>
      </c>
      <c r="I57" t="s">
        <v>430</v>
      </c>
      <c r="K57" t="s">
        <v>684</v>
      </c>
      <c r="L57" t="s">
        <v>685</v>
      </c>
      <c r="M57" t="s">
        <v>686</v>
      </c>
      <c r="N57" t="s">
        <v>152</v>
      </c>
    </row>
    <row r="58" spans="1:14" x14ac:dyDescent="0.2">
      <c r="F58" t="s">
        <v>431</v>
      </c>
      <c r="G58" t="s">
        <v>47</v>
      </c>
      <c r="H58" t="s">
        <v>47</v>
      </c>
      <c r="I58" t="s">
        <v>432</v>
      </c>
    </row>
    <row r="59" spans="1:14" x14ac:dyDescent="0.2">
      <c r="F59" t="s">
        <v>433</v>
      </c>
      <c r="G59" t="s">
        <v>47</v>
      </c>
      <c r="H59" t="s">
        <v>47</v>
      </c>
      <c r="I59" t="s">
        <v>47</v>
      </c>
    </row>
    <row r="60" spans="1:14" x14ac:dyDescent="0.2">
      <c r="F60" t="s">
        <v>434</v>
      </c>
      <c r="G60" t="s">
        <v>47</v>
      </c>
      <c r="H60" t="s">
        <v>47</v>
      </c>
      <c r="I60" t="s">
        <v>47</v>
      </c>
    </row>
    <row r="61" spans="1:14" x14ac:dyDescent="0.2">
      <c r="F61" t="s">
        <v>435</v>
      </c>
      <c r="G61" t="s">
        <v>47</v>
      </c>
      <c r="H61" t="s">
        <v>47</v>
      </c>
      <c r="I61" t="s">
        <v>432</v>
      </c>
    </row>
    <row r="62" spans="1:14" x14ac:dyDescent="0.2">
      <c r="F62" t="s">
        <v>436</v>
      </c>
      <c r="G62" t="s">
        <v>437</v>
      </c>
      <c r="H62" t="s">
        <v>196</v>
      </c>
      <c r="I62" t="s">
        <v>438</v>
      </c>
    </row>
    <row r="63" spans="1:14" x14ac:dyDescent="0.2">
      <c r="F63" t="s">
        <v>439</v>
      </c>
      <c r="G63" t="s">
        <v>440</v>
      </c>
      <c r="H63" t="s">
        <v>440</v>
      </c>
      <c r="I63" t="s">
        <v>441</v>
      </c>
    </row>
    <row r="64" spans="1:14" x14ac:dyDescent="0.2">
      <c r="F64" t="s">
        <v>442</v>
      </c>
      <c r="G64" t="s">
        <v>331</v>
      </c>
      <c r="H64" t="s">
        <v>443</v>
      </c>
      <c r="I64" t="s">
        <v>444</v>
      </c>
    </row>
    <row r="65" spans="6:9" x14ac:dyDescent="0.2">
      <c r="F65" t="s">
        <v>445</v>
      </c>
      <c r="G65" t="s">
        <v>446</v>
      </c>
      <c r="H65" t="s">
        <v>447</v>
      </c>
      <c r="I65" t="s">
        <v>448</v>
      </c>
    </row>
    <row r="66" spans="6:9" x14ac:dyDescent="0.2">
      <c r="F66" t="s">
        <v>449</v>
      </c>
      <c r="G66" t="s">
        <v>450</v>
      </c>
      <c r="H66" t="s">
        <v>451</v>
      </c>
      <c r="I66" t="s">
        <v>452</v>
      </c>
    </row>
    <row r="67" spans="6:9" x14ac:dyDescent="0.2">
      <c r="F67" t="s">
        <v>72</v>
      </c>
      <c r="G67" t="s">
        <v>453</v>
      </c>
      <c r="H67" t="s">
        <v>454</v>
      </c>
      <c r="I67" t="s">
        <v>455</v>
      </c>
    </row>
    <row r="68" spans="6:9" x14ac:dyDescent="0.2">
      <c r="F68" t="s">
        <v>456</v>
      </c>
      <c r="G68" t="s">
        <v>457</v>
      </c>
      <c r="H68" t="s">
        <v>458</v>
      </c>
      <c r="I68" t="s">
        <v>459</v>
      </c>
    </row>
    <row r="69" spans="6:9" x14ac:dyDescent="0.2">
      <c r="F69" t="s">
        <v>460</v>
      </c>
      <c r="G69" t="s">
        <v>461</v>
      </c>
      <c r="H69" t="s">
        <v>462</v>
      </c>
      <c r="I69" t="s">
        <v>463</v>
      </c>
    </row>
    <row r="70" spans="6:9" x14ac:dyDescent="0.2">
      <c r="F70" t="s">
        <v>464</v>
      </c>
      <c r="G70" t="s">
        <v>465</v>
      </c>
      <c r="H70" t="s">
        <v>466</v>
      </c>
      <c r="I70" t="s">
        <v>467</v>
      </c>
    </row>
    <row r="71" spans="6:9" x14ac:dyDescent="0.2">
      <c r="F71" t="s">
        <v>468</v>
      </c>
      <c r="G71" t="s">
        <v>469</v>
      </c>
      <c r="H71" t="s">
        <v>470</v>
      </c>
      <c r="I71" t="s">
        <v>471</v>
      </c>
    </row>
    <row r="72" spans="6:9" x14ac:dyDescent="0.2">
      <c r="F72" t="s">
        <v>472</v>
      </c>
      <c r="G72" t="s">
        <v>473</v>
      </c>
      <c r="H72" t="s">
        <v>474</v>
      </c>
      <c r="I72" t="s">
        <v>475</v>
      </c>
    </row>
    <row r="73" spans="6:9" x14ac:dyDescent="0.2">
      <c r="F73" t="s">
        <v>476</v>
      </c>
      <c r="G73" t="s">
        <v>477</v>
      </c>
      <c r="H73" t="s">
        <v>478</v>
      </c>
      <c r="I73" t="s">
        <v>479</v>
      </c>
    </row>
    <row r="74" spans="6:9" x14ac:dyDescent="0.2">
      <c r="F74" t="s">
        <v>480</v>
      </c>
      <c r="G74" t="s">
        <v>172</v>
      </c>
      <c r="H74" t="s">
        <v>172</v>
      </c>
      <c r="I74" t="s">
        <v>172</v>
      </c>
    </row>
    <row r="75" spans="6:9" x14ac:dyDescent="0.2">
      <c r="F75" t="s">
        <v>481</v>
      </c>
      <c r="G75" t="s">
        <v>482</v>
      </c>
      <c r="H75" t="s">
        <v>483</v>
      </c>
      <c r="I75" t="s">
        <v>484</v>
      </c>
    </row>
    <row r="76" spans="6:9" x14ac:dyDescent="0.2">
      <c r="F76" t="s">
        <v>485</v>
      </c>
      <c r="G76" t="s">
        <v>339</v>
      </c>
      <c r="H76" t="s">
        <v>486</v>
      </c>
      <c r="I76" t="s">
        <v>487</v>
      </c>
    </row>
    <row r="77" spans="6:9" x14ac:dyDescent="0.2">
      <c r="F77" t="s">
        <v>488</v>
      </c>
      <c r="G77" t="s">
        <v>172</v>
      </c>
      <c r="H77" t="s">
        <v>378</v>
      </c>
      <c r="I77" t="s">
        <v>489</v>
      </c>
    </row>
    <row r="78" spans="6:9" x14ac:dyDescent="0.2">
      <c r="F78" t="s">
        <v>490</v>
      </c>
      <c r="G78" t="s">
        <v>365</v>
      </c>
      <c r="H78" t="s">
        <v>491</v>
      </c>
      <c r="I78" t="s">
        <v>492</v>
      </c>
    </row>
    <row r="79" spans="6:9" x14ac:dyDescent="0.2">
      <c r="F79" t="s">
        <v>493</v>
      </c>
      <c r="G79" t="s">
        <v>494</v>
      </c>
      <c r="H79" t="s">
        <v>495</v>
      </c>
      <c r="I79" t="s">
        <v>496</v>
      </c>
    </row>
    <row r="80" spans="6:9" x14ac:dyDescent="0.2">
      <c r="F80" t="s">
        <v>497</v>
      </c>
      <c r="G80" t="s">
        <v>498</v>
      </c>
      <c r="H80" t="s">
        <v>499</v>
      </c>
      <c r="I80" t="s">
        <v>500</v>
      </c>
    </row>
    <row r="81" spans="6:9" x14ac:dyDescent="0.2">
      <c r="F81" t="s">
        <v>501</v>
      </c>
      <c r="G81" t="s">
        <v>502</v>
      </c>
      <c r="H81" t="s">
        <v>503</v>
      </c>
      <c r="I81" t="s">
        <v>504</v>
      </c>
    </row>
    <row r="82" spans="6:9" x14ac:dyDescent="0.2">
      <c r="F82" t="s">
        <v>505</v>
      </c>
      <c r="G82" t="s">
        <v>506</v>
      </c>
      <c r="H82" t="s">
        <v>507</v>
      </c>
      <c r="I82" t="s">
        <v>508</v>
      </c>
    </row>
    <row r="83" spans="6:9" x14ac:dyDescent="0.2">
      <c r="F83" t="s">
        <v>509</v>
      </c>
      <c r="G83" t="s">
        <v>510</v>
      </c>
      <c r="H83" t="s">
        <v>511</v>
      </c>
      <c r="I83" t="s">
        <v>512</v>
      </c>
    </row>
    <row r="84" spans="6:9" x14ac:dyDescent="0.2">
      <c r="F84" t="s">
        <v>513</v>
      </c>
      <c r="G84" t="s">
        <v>514</v>
      </c>
      <c r="H84" t="s">
        <v>515</v>
      </c>
      <c r="I84" t="s">
        <v>516</v>
      </c>
    </row>
    <row r="85" spans="6:9" x14ac:dyDescent="0.2">
      <c r="F85" t="s">
        <v>517</v>
      </c>
      <c r="G85" t="s">
        <v>518</v>
      </c>
      <c r="H85" t="s">
        <v>519</v>
      </c>
      <c r="I85" t="s">
        <v>520</v>
      </c>
    </row>
    <row r="86" spans="6:9" x14ac:dyDescent="0.2">
      <c r="F86" t="s">
        <v>521</v>
      </c>
      <c r="G86" t="s">
        <v>518</v>
      </c>
      <c r="H86" t="s">
        <v>519</v>
      </c>
      <c r="I86" t="s">
        <v>520</v>
      </c>
    </row>
    <row r="87" spans="6:9" x14ac:dyDescent="0.2">
      <c r="F87" t="s">
        <v>522</v>
      </c>
      <c r="G87" t="s">
        <v>523</v>
      </c>
      <c r="H87" t="s">
        <v>208</v>
      </c>
      <c r="I87" t="s">
        <v>524</v>
      </c>
    </row>
    <row r="88" spans="6:9" x14ac:dyDescent="0.2">
      <c r="F88" t="s">
        <v>525</v>
      </c>
      <c r="G88" t="s">
        <v>526</v>
      </c>
      <c r="H88" t="s">
        <v>527</v>
      </c>
      <c r="I88" t="s">
        <v>528</v>
      </c>
    </row>
  </sheetData>
  <pageMargins left="0.7" right="0.7" top="0.75" bottom="0.75" header="0.3" footer="0.3"/>
  <tableParts count="3">
    <tablePart r:id="rId1"/>
    <tablePart r:id="rId2"/>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EB3BE91-BA5A-DD40-8ADB-C91B4AF07E6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Valuation_Summary</vt:lpstr>
      <vt:lpstr>DCF</vt:lpstr>
      <vt:lpstr>3_Statment_model</vt:lpstr>
      <vt:lpstr>Public_Comps</vt:lpstr>
      <vt:lpstr>LBO</vt:lpstr>
      <vt:lpstr>Imported_Financial_Statements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Svayam Ruparelia</dc:creator>
  <cp:lastModifiedBy>Svayam Ruparelia</cp:lastModifiedBy>
  <dcterms:created xsi:type="dcterms:W3CDTF">2026-07-26T12:58:41Z</dcterms:created>
  <dcterms:modified xsi:type="dcterms:W3CDTF">2026-08-08T11:32:53Z</dcterms:modified>
</cp:coreProperties>
</file>